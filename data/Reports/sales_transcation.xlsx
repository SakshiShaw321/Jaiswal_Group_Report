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ownloads\Jaiswal_Group_Report\data\"/>
    </mc:Choice>
  </mc:AlternateContent>
  <xr:revisionPtr revIDLastSave="0" documentId="13_ncr:1_{BFD5FF3F-6736-42EF-BF76-7A0F2E72ED8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Y(2026-2027)" sheetId="2" r:id="rId1"/>
    <sheet name="FY(2025-2026)" sheetId="1" r:id="rId2"/>
  </sheets>
  <definedNames>
    <definedName name="_xlnm._FilterDatabase" localSheetId="1" hidden="1">'FY(2025-2026)'!$A$1:$M$513</definedName>
    <definedName name="_xlnm._FilterDatabase" localSheetId="0" hidden="1">'FY(2026-2027)'!$A$1:$M$471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0" i="1" l="1"/>
  <c r="L300" i="1" s="1"/>
  <c r="K308" i="1"/>
  <c r="L308" i="1" s="1"/>
  <c r="K320" i="1"/>
  <c r="L320" i="1" s="1"/>
  <c r="K344" i="1"/>
  <c r="L344" i="1" s="1"/>
  <c r="K405" i="1"/>
  <c r="L405" i="1" s="1"/>
  <c r="K406" i="1"/>
  <c r="L406" i="1" s="1"/>
  <c r="K453" i="1"/>
  <c r="L453" i="1" s="1"/>
  <c r="K466" i="1"/>
  <c r="L466" i="1" s="1"/>
  <c r="K469" i="1"/>
  <c r="L469" i="1" s="1"/>
  <c r="L257" i="1"/>
  <c r="L281" i="1"/>
  <c r="L366" i="1"/>
  <c r="L417" i="1"/>
  <c r="K161" i="1"/>
  <c r="L161" i="1" s="1"/>
  <c r="K176" i="1"/>
  <c r="L176" i="1" s="1"/>
  <c r="K185" i="1"/>
  <c r="L185" i="1" s="1"/>
  <c r="K197" i="1"/>
  <c r="L197" i="1" s="1"/>
  <c r="K221" i="1"/>
  <c r="K224" i="1"/>
  <c r="L224" i="1" s="1"/>
  <c r="K237" i="1"/>
  <c r="L237" i="1" s="1"/>
  <c r="K238" i="1"/>
  <c r="L238" i="1" s="1"/>
  <c r="L168" i="1"/>
  <c r="L221" i="1"/>
  <c r="L252" i="1"/>
  <c r="M104" i="1"/>
  <c r="M125" i="1"/>
  <c r="M137" i="1"/>
  <c r="M141" i="1"/>
  <c r="M160" i="1"/>
  <c r="M161" i="1"/>
  <c r="M165" i="1"/>
  <c r="M185" i="1"/>
  <c r="M192" i="1"/>
  <c r="M197" i="1"/>
  <c r="M229" i="1"/>
  <c r="M232" i="1"/>
  <c r="M252" i="1"/>
  <c r="M253" i="1"/>
  <c r="M264" i="1"/>
  <c r="M265" i="1"/>
  <c r="M281" i="1"/>
  <c r="M284" i="1"/>
  <c r="M285" i="1"/>
  <c r="M305" i="1"/>
  <c r="M312" i="1"/>
  <c r="M321" i="1"/>
  <c r="M324" i="1"/>
  <c r="M333" i="1"/>
  <c r="M341" i="1"/>
  <c r="M377" i="1"/>
  <c r="M393" i="1"/>
  <c r="M416" i="1"/>
  <c r="M417" i="1"/>
  <c r="M462" i="1"/>
  <c r="M465" i="1"/>
  <c r="M484" i="1"/>
  <c r="M485" i="1"/>
  <c r="M489" i="1"/>
  <c r="L149" i="1"/>
  <c r="K101" i="1"/>
  <c r="L101" i="1" s="1"/>
  <c r="K116" i="1"/>
  <c r="L116" i="1" s="1"/>
  <c r="K117" i="1"/>
  <c r="L117" i="1" s="1"/>
  <c r="K136" i="1"/>
  <c r="L136" i="1" s="1"/>
  <c r="K137" i="1"/>
  <c r="L137" i="1" s="1"/>
  <c r="K140" i="1"/>
  <c r="L140" i="1" s="1"/>
  <c r="M8" i="1"/>
  <c r="M9" i="1"/>
  <c r="M36" i="1"/>
  <c r="M37" i="1"/>
  <c r="M45" i="1"/>
  <c r="M57" i="1"/>
  <c r="M65" i="1"/>
  <c r="M81" i="1"/>
  <c r="M82" i="1"/>
  <c r="M89" i="1"/>
  <c r="L20" i="1"/>
  <c r="L35" i="1"/>
  <c r="L37" i="1"/>
  <c r="L88" i="1"/>
  <c r="K8" i="1"/>
  <c r="L8" i="1" s="1"/>
  <c r="K9" i="1"/>
  <c r="L9" i="1" s="1"/>
  <c r="K10" i="1"/>
  <c r="L10" i="1" s="1"/>
  <c r="K16" i="1"/>
  <c r="L16" i="1" s="1"/>
  <c r="K21" i="1"/>
  <c r="L21" i="1" s="1"/>
  <c r="K36" i="1"/>
  <c r="L36" i="1" s="1"/>
  <c r="K37" i="1"/>
  <c r="K47" i="1"/>
  <c r="L47" i="1" s="1"/>
  <c r="K48" i="1"/>
  <c r="L48" i="1" s="1"/>
  <c r="K53" i="1"/>
  <c r="L53" i="1" s="1"/>
  <c r="K60" i="1"/>
  <c r="L60" i="1" s="1"/>
  <c r="K65" i="1"/>
  <c r="L65" i="1" s="1"/>
  <c r="K72" i="1"/>
  <c r="L72" i="1" s="1"/>
  <c r="K77" i="1"/>
  <c r="L77" i="1" s="1"/>
  <c r="K89" i="1"/>
  <c r="L89" i="1" s="1"/>
  <c r="K93" i="1"/>
  <c r="L93" i="1" s="1"/>
  <c r="K96" i="1"/>
  <c r="L96" i="1" s="1"/>
  <c r="K2" i="1"/>
  <c r="L2" i="1" s="1"/>
  <c r="J3" i="1"/>
  <c r="K3" i="1" s="1"/>
  <c r="L3" i="1" s="1"/>
  <c r="J4" i="1"/>
  <c r="K4" i="1" s="1"/>
  <c r="L4" i="1" s="1"/>
  <c r="J5" i="1"/>
  <c r="M5" i="1" s="1"/>
  <c r="J6" i="1"/>
  <c r="J7" i="1"/>
  <c r="M7" i="1" s="1"/>
  <c r="J8" i="1"/>
  <c r="J9" i="1"/>
  <c r="J10" i="1"/>
  <c r="M10" i="1" s="1"/>
  <c r="J11" i="1"/>
  <c r="K11" i="1" s="1"/>
  <c r="L11" i="1" s="1"/>
  <c r="J12" i="1"/>
  <c r="J13" i="1"/>
  <c r="M13" i="1" s="1"/>
  <c r="J14" i="1"/>
  <c r="J15" i="1"/>
  <c r="M15" i="1" s="1"/>
  <c r="J16" i="1"/>
  <c r="M16" i="1" s="1"/>
  <c r="J17" i="1"/>
  <c r="M17" i="1" s="1"/>
  <c r="J18" i="1"/>
  <c r="J19" i="1"/>
  <c r="K19" i="1" s="1"/>
  <c r="L19" i="1" s="1"/>
  <c r="J20" i="1"/>
  <c r="K20" i="1" s="1"/>
  <c r="J21" i="1"/>
  <c r="M21" i="1" s="1"/>
  <c r="J22" i="1"/>
  <c r="K22" i="1" s="1"/>
  <c r="L22" i="1" s="1"/>
  <c r="J23" i="1"/>
  <c r="K23" i="1" s="1"/>
  <c r="L23" i="1" s="1"/>
  <c r="J24" i="1"/>
  <c r="M24" i="1" s="1"/>
  <c r="J25" i="1"/>
  <c r="M25" i="1" s="1"/>
  <c r="J26" i="1"/>
  <c r="K26" i="1" s="1"/>
  <c r="L26" i="1" s="1"/>
  <c r="J27" i="1"/>
  <c r="J28" i="1"/>
  <c r="M28" i="1" s="1"/>
  <c r="J29" i="1"/>
  <c r="M29" i="1" s="1"/>
  <c r="J30" i="1"/>
  <c r="M30" i="1" s="1"/>
  <c r="J31" i="1"/>
  <c r="J32" i="1"/>
  <c r="J33" i="1"/>
  <c r="M33" i="1" s="1"/>
  <c r="J34" i="1"/>
  <c r="K34" i="1" s="1"/>
  <c r="L34" i="1" s="1"/>
  <c r="J35" i="1"/>
  <c r="K35" i="1" s="1"/>
  <c r="J36" i="1"/>
  <c r="J37" i="1"/>
  <c r="J38" i="1"/>
  <c r="K38" i="1" s="1"/>
  <c r="L38" i="1" s="1"/>
  <c r="J39" i="1"/>
  <c r="M39" i="1" s="1"/>
  <c r="J40" i="1"/>
  <c r="K40" i="1" s="1"/>
  <c r="L40" i="1" s="1"/>
  <c r="J41" i="1"/>
  <c r="M41" i="1" s="1"/>
  <c r="J42" i="1"/>
  <c r="M42" i="1" s="1"/>
  <c r="J43" i="1"/>
  <c r="M43" i="1" s="1"/>
  <c r="J44" i="1"/>
  <c r="K44" i="1" s="1"/>
  <c r="L44" i="1" s="1"/>
  <c r="J45" i="1"/>
  <c r="K45" i="1" s="1"/>
  <c r="L45" i="1" s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52" i="1"/>
  <c r="K52" i="1" s="1"/>
  <c r="L52" i="1" s="1"/>
  <c r="J53" i="1"/>
  <c r="M53" i="1" s="1"/>
  <c r="J54" i="1"/>
  <c r="K54" i="1" s="1"/>
  <c r="L54" i="1" s="1"/>
  <c r="J55" i="1"/>
  <c r="M55" i="1" s="1"/>
  <c r="J56" i="1"/>
  <c r="J57" i="1"/>
  <c r="K57" i="1" s="1"/>
  <c r="L57" i="1" s="1"/>
  <c r="J58" i="1"/>
  <c r="K58" i="1" s="1"/>
  <c r="L58" i="1" s="1"/>
  <c r="J59" i="1"/>
  <c r="M59" i="1" s="1"/>
  <c r="J60" i="1"/>
  <c r="M60" i="1" s="1"/>
  <c r="J61" i="1"/>
  <c r="K61" i="1" s="1"/>
  <c r="L61" i="1" s="1"/>
  <c r="J62" i="1"/>
  <c r="M62" i="1" s="1"/>
  <c r="J63" i="1"/>
  <c r="M63" i="1" s="1"/>
  <c r="J64" i="1"/>
  <c r="J65" i="1"/>
  <c r="J66" i="1"/>
  <c r="M66" i="1" s="1"/>
  <c r="J67" i="1"/>
  <c r="M67" i="1" s="1"/>
  <c r="J68" i="1"/>
  <c r="J69" i="1"/>
  <c r="M69" i="1" s="1"/>
  <c r="J70" i="1"/>
  <c r="K70" i="1" s="1"/>
  <c r="L70" i="1" s="1"/>
  <c r="J71" i="1"/>
  <c r="M71" i="1" s="1"/>
  <c r="J72" i="1"/>
  <c r="M72" i="1" s="1"/>
  <c r="J73" i="1"/>
  <c r="K73" i="1" s="1"/>
  <c r="L73" i="1" s="1"/>
  <c r="J74" i="1"/>
  <c r="M74" i="1" s="1"/>
  <c r="J75" i="1"/>
  <c r="K75" i="1" s="1"/>
  <c r="L75" i="1" s="1"/>
  <c r="J76" i="1"/>
  <c r="J77" i="1"/>
  <c r="M77" i="1" s="1"/>
  <c r="J78" i="1"/>
  <c r="M78" i="1" s="1"/>
  <c r="J79" i="1"/>
  <c r="M79" i="1" s="1"/>
  <c r="J80" i="1"/>
  <c r="J81" i="1"/>
  <c r="K81" i="1" s="1"/>
  <c r="L81" i="1" s="1"/>
  <c r="J82" i="1"/>
  <c r="K82" i="1" s="1"/>
  <c r="L82" i="1" s="1"/>
  <c r="J83" i="1"/>
  <c r="M83" i="1" s="1"/>
  <c r="J84" i="1"/>
  <c r="K84" i="1" s="1"/>
  <c r="L84" i="1" s="1"/>
  <c r="J85" i="1"/>
  <c r="K85" i="1" s="1"/>
  <c r="L85" i="1" s="1"/>
  <c r="J86" i="1"/>
  <c r="M86" i="1" s="1"/>
  <c r="J87" i="1"/>
  <c r="K87" i="1" s="1"/>
  <c r="L87" i="1" s="1"/>
  <c r="J88" i="1"/>
  <c r="K88" i="1" s="1"/>
  <c r="J89" i="1"/>
  <c r="J90" i="1"/>
  <c r="M90" i="1" s="1"/>
  <c r="J91" i="1"/>
  <c r="M91" i="1" s="1"/>
  <c r="J92" i="1"/>
  <c r="J93" i="1"/>
  <c r="M93" i="1" s="1"/>
  <c r="J94" i="1"/>
  <c r="K94" i="1" s="1"/>
  <c r="L94" i="1" s="1"/>
  <c r="J95" i="1"/>
  <c r="M95" i="1" s="1"/>
  <c r="J96" i="1"/>
  <c r="M96" i="1" s="1"/>
  <c r="J97" i="1"/>
  <c r="K97" i="1" s="1"/>
  <c r="L97" i="1" s="1"/>
  <c r="J98" i="1"/>
  <c r="J99" i="1"/>
  <c r="K99" i="1" s="1"/>
  <c r="L99" i="1" s="1"/>
  <c r="J100" i="1"/>
  <c r="M100" i="1" s="1"/>
  <c r="J101" i="1"/>
  <c r="M101" i="1" s="1"/>
  <c r="J102" i="1"/>
  <c r="M102" i="1" s="1"/>
  <c r="J103" i="1"/>
  <c r="J104" i="1"/>
  <c r="K104" i="1" s="1"/>
  <c r="L104" i="1" s="1"/>
  <c r="J105" i="1"/>
  <c r="J106" i="1"/>
  <c r="M106" i="1" s="1"/>
  <c r="J107" i="1"/>
  <c r="J108" i="1"/>
  <c r="K108" i="1" s="1"/>
  <c r="L108" i="1" s="1"/>
  <c r="J109" i="1"/>
  <c r="K109" i="1" s="1"/>
  <c r="L109" i="1" s="1"/>
  <c r="J110" i="1"/>
  <c r="J111" i="1"/>
  <c r="J112" i="1"/>
  <c r="J113" i="1"/>
  <c r="K113" i="1" s="1"/>
  <c r="L113" i="1" s="1"/>
  <c r="J114" i="1"/>
  <c r="J115" i="1"/>
  <c r="M115" i="1" s="1"/>
  <c r="J116" i="1"/>
  <c r="M116" i="1" s="1"/>
  <c r="J117" i="1"/>
  <c r="M117" i="1" s="1"/>
  <c r="J118" i="1"/>
  <c r="M118" i="1" s="1"/>
  <c r="J119" i="1"/>
  <c r="J120" i="1"/>
  <c r="J121" i="1"/>
  <c r="J122" i="1"/>
  <c r="K122" i="1" s="1"/>
  <c r="L122" i="1" s="1"/>
  <c r="J123" i="1"/>
  <c r="M123" i="1" s="1"/>
  <c r="J124" i="1"/>
  <c r="J125" i="1"/>
  <c r="K125" i="1" s="1"/>
  <c r="L125" i="1" s="1"/>
  <c r="J126" i="1"/>
  <c r="K126" i="1" s="1"/>
  <c r="L126" i="1" s="1"/>
  <c r="J127" i="1"/>
  <c r="K127" i="1" s="1"/>
  <c r="L127" i="1" s="1"/>
  <c r="J128" i="1"/>
  <c r="J129" i="1"/>
  <c r="M129" i="1" s="1"/>
  <c r="J130" i="1"/>
  <c r="M130" i="1" s="1"/>
  <c r="J131" i="1"/>
  <c r="J132" i="1"/>
  <c r="J133" i="1"/>
  <c r="M133" i="1" s="1"/>
  <c r="J134" i="1"/>
  <c r="M134" i="1" s="1"/>
  <c r="J135" i="1"/>
  <c r="J136" i="1"/>
  <c r="M136" i="1" s="1"/>
  <c r="J137" i="1"/>
  <c r="J138" i="1"/>
  <c r="K138" i="1" s="1"/>
  <c r="L138" i="1" s="1"/>
  <c r="J139" i="1"/>
  <c r="J140" i="1"/>
  <c r="M140" i="1" s="1"/>
  <c r="J141" i="1"/>
  <c r="K141" i="1" s="1"/>
  <c r="L141" i="1" s="1"/>
  <c r="J142" i="1"/>
  <c r="M142" i="1" s="1"/>
  <c r="J143" i="1"/>
  <c r="J144" i="1"/>
  <c r="J145" i="1"/>
  <c r="J146" i="1"/>
  <c r="J147" i="1"/>
  <c r="K147" i="1" s="1"/>
  <c r="L147" i="1" s="1"/>
  <c r="J148" i="1"/>
  <c r="K148" i="1" s="1"/>
  <c r="L148" i="1" s="1"/>
  <c r="J149" i="1"/>
  <c r="K149" i="1" s="1"/>
  <c r="J150" i="1"/>
  <c r="M150" i="1" s="1"/>
  <c r="J151" i="1"/>
  <c r="M151" i="1" s="1"/>
  <c r="J152" i="1"/>
  <c r="J153" i="1"/>
  <c r="M153" i="1" s="1"/>
  <c r="J154" i="1"/>
  <c r="J155" i="1"/>
  <c r="J156" i="1"/>
  <c r="J157" i="1"/>
  <c r="J158" i="1"/>
  <c r="J159" i="1"/>
  <c r="J160" i="1"/>
  <c r="K160" i="1" s="1"/>
  <c r="L160" i="1" s="1"/>
  <c r="J161" i="1"/>
  <c r="J162" i="1"/>
  <c r="J163" i="1"/>
  <c r="K163" i="1" s="1"/>
  <c r="L163" i="1" s="1"/>
  <c r="J164" i="1"/>
  <c r="M164" i="1" s="1"/>
  <c r="J165" i="1"/>
  <c r="K165" i="1" s="1"/>
  <c r="L165" i="1" s="1"/>
  <c r="J166" i="1"/>
  <c r="M166" i="1" s="1"/>
  <c r="J167" i="1"/>
  <c r="M167" i="1" s="1"/>
  <c r="J168" i="1"/>
  <c r="K168" i="1" s="1"/>
  <c r="J169" i="1"/>
  <c r="K169" i="1" s="1"/>
  <c r="L169" i="1" s="1"/>
  <c r="J170" i="1"/>
  <c r="J171" i="1"/>
  <c r="J172" i="1"/>
  <c r="J173" i="1"/>
  <c r="J174" i="1"/>
  <c r="J175" i="1"/>
  <c r="J176" i="1"/>
  <c r="M176" i="1" s="1"/>
  <c r="J177" i="1"/>
  <c r="M177" i="1" s="1"/>
  <c r="J178" i="1"/>
  <c r="J179" i="1"/>
  <c r="M179" i="1" s="1"/>
  <c r="J180" i="1"/>
  <c r="K180" i="1" s="1"/>
  <c r="L180" i="1" s="1"/>
  <c r="J181" i="1"/>
  <c r="K181" i="1" s="1"/>
  <c r="L181" i="1" s="1"/>
  <c r="J182" i="1"/>
  <c r="M182" i="1" s="1"/>
  <c r="J183" i="1"/>
  <c r="K183" i="1" s="1"/>
  <c r="L183" i="1" s="1"/>
  <c r="J184" i="1"/>
  <c r="J185" i="1"/>
  <c r="J186" i="1"/>
  <c r="M186" i="1" s="1"/>
  <c r="J187" i="1"/>
  <c r="J188" i="1"/>
  <c r="J189" i="1"/>
  <c r="K189" i="1" s="1"/>
  <c r="L189" i="1" s="1"/>
  <c r="J190" i="1"/>
  <c r="M190" i="1" s="1"/>
  <c r="J191" i="1"/>
  <c r="J192" i="1"/>
  <c r="K192" i="1" s="1"/>
  <c r="L192" i="1" s="1"/>
  <c r="J193" i="1"/>
  <c r="J194" i="1"/>
  <c r="J195" i="1"/>
  <c r="J196" i="1"/>
  <c r="J197" i="1"/>
  <c r="J198" i="1"/>
  <c r="M198" i="1" s="1"/>
  <c r="J199" i="1"/>
  <c r="K199" i="1" s="1"/>
  <c r="L199" i="1" s="1"/>
  <c r="J200" i="1"/>
  <c r="M200" i="1" s="1"/>
  <c r="J201" i="1"/>
  <c r="J202" i="1"/>
  <c r="J203" i="1"/>
  <c r="M203" i="1" s="1"/>
  <c r="J204" i="1"/>
  <c r="M204" i="1" s="1"/>
  <c r="J205" i="1"/>
  <c r="M205" i="1" s="1"/>
  <c r="J206" i="1"/>
  <c r="M206" i="1" s="1"/>
  <c r="J207" i="1"/>
  <c r="J208" i="1"/>
  <c r="K208" i="1" s="1"/>
  <c r="L208" i="1" s="1"/>
  <c r="J209" i="1"/>
  <c r="J210" i="1"/>
  <c r="K210" i="1" s="1"/>
  <c r="L210" i="1" s="1"/>
  <c r="J211" i="1"/>
  <c r="K211" i="1" s="1"/>
  <c r="L211" i="1" s="1"/>
  <c r="J212" i="1"/>
  <c r="J213" i="1"/>
  <c r="M213" i="1" s="1"/>
  <c r="J214" i="1"/>
  <c r="M214" i="1" s="1"/>
  <c r="J215" i="1"/>
  <c r="J216" i="1"/>
  <c r="J217" i="1"/>
  <c r="M217" i="1" s="1"/>
  <c r="J218" i="1"/>
  <c r="M218" i="1" s="1"/>
  <c r="J219" i="1"/>
  <c r="J220" i="1"/>
  <c r="K220" i="1" s="1"/>
  <c r="L220" i="1" s="1"/>
  <c r="J221" i="1"/>
  <c r="M221" i="1" s="1"/>
  <c r="J222" i="1"/>
  <c r="M222" i="1" s="1"/>
  <c r="J223" i="1"/>
  <c r="K223" i="1" s="1"/>
  <c r="L223" i="1" s="1"/>
  <c r="J224" i="1"/>
  <c r="M224" i="1" s="1"/>
  <c r="J225" i="1"/>
  <c r="J226" i="1"/>
  <c r="M226" i="1" s="1"/>
  <c r="J227" i="1"/>
  <c r="M227" i="1" s="1"/>
  <c r="J228" i="1"/>
  <c r="J229" i="1"/>
  <c r="K229" i="1" s="1"/>
  <c r="L229" i="1" s="1"/>
  <c r="J230" i="1"/>
  <c r="J231" i="1"/>
  <c r="J232" i="1"/>
  <c r="K232" i="1" s="1"/>
  <c r="L232" i="1" s="1"/>
  <c r="J233" i="1"/>
  <c r="K233" i="1" s="1"/>
  <c r="L233" i="1" s="1"/>
  <c r="J234" i="1"/>
  <c r="J235" i="1"/>
  <c r="J236" i="1"/>
  <c r="J237" i="1"/>
  <c r="M237" i="1" s="1"/>
  <c r="J238" i="1"/>
  <c r="M238" i="1" s="1"/>
  <c r="J239" i="1"/>
  <c r="M239" i="1" s="1"/>
  <c r="J240" i="1"/>
  <c r="M240" i="1" s="1"/>
  <c r="J241" i="1"/>
  <c r="K241" i="1" s="1"/>
  <c r="L241" i="1" s="1"/>
  <c r="J242" i="1"/>
  <c r="K242" i="1" s="1"/>
  <c r="L242" i="1" s="1"/>
  <c r="J243" i="1"/>
  <c r="J244" i="1"/>
  <c r="J245" i="1"/>
  <c r="J246" i="1"/>
  <c r="K246" i="1" s="1"/>
  <c r="L246" i="1" s="1"/>
  <c r="J247" i="1"/>
  <c r="M247" i="1" s="1"/>
  <c r="J248" i="1"/>
  <c r="J249" i="1"/>
  <c r="K249" i="1" s="1"/>
  <c r="L249" i="1" s="1"/>
  <c r="J250" i="1"/>
  <c r="M250" i="1" s="1"/>
  <c r="J251" i="1"/>
  <c r="M251" i="1" s="1"/>
  <c r="J252" i="1"/>
  <c r="K252" i="1" s="1"/>
  <c r="J253" i="1"/>
  <c r="K253" i="1" s="1"/>
  <c r="L253" i="1" s="1"/>
  <c r="J254" i="1"/>
  <c r="M254" i="1" s="1"/>
  <c r="J255" i="1"/>
  <c r="M255" i="1" s="1"/>
  <c r="J256" i="1"/>
  <c r="J257" i="1"/>
  <c r="K257" i="1" s="1"/>
  <c r="J258" i="1"/>
  <c r="J259" i="1"/>
  <c r="J260" i="1"/>
  <c r="J261" i="1"/>
  <c r="J262" i="1"/>
  <c r="M262" i="1" s="1"/>
  <c r="J263" i="1"/>
  <c r="M263" i="1" s="1"/>
  <c r="J264" i="1"/>
  <c r="K264" i="1" s="1"/>
  <c r="L264" i="1" s="1"/>
  <c r="J265" i="1"/>
  <c r="K265" i="1" s="1"/>
  <c r="L265" i="1" s="1"/>
  <c r="J266" i="1"/>
  <c r="K266" i="1" s="1"/>
  <c r="L266" i="1" s="1"/>
  <c r="J267" i="1"/>
  <c r="K267" i="1" s="1"/>
  <c r="L267" i="1" s="1"/>
  <c r="J268" i="1"/>
  <c r="J269" i="1"/>
  <c r="K269" i="1" s="1"/>
  <c r="L269" i="1" s="1"/>
  <c r="J270" i="1"/>
  <c r="K270" i="1" s="1"/>
  <c r="L270" i="1" s="1"/>
  <c r="J271" i="1"/>
  <c r="K271" i="1" s="1"/>
  <c r="L271" i="1" s="1"/>
  <c r="J272" i="1"/>
  <c r="J273" i="1"/>
  <c r="J274" i="1"/>
  <c r="J275" i="1"/>
  <c r="M275" i="1" s="1"/>
  <c r="J276" i="1"/>
  <c r="M276" i="1" s="1"/>
  <c r="J277" i="1"/>
  <c r="J278" i="1"/>
  <c r="J279" i="1"/>
  <c r="J280" i="1"/>
  <c r="J281" i="1"/>
  <c r="K281" i="1" s="1"/>
  <c r="J282" i="1"/>
  <c r="K282" i="1" s="1"/>
  <c r="L282" i="1" s="1"/>
  <c r="J283" i="1"/>
  <c r="K283" i="1" s="1"/>
  <c r="L283" i="1" s="1"/>
  <c r="J284" i="1"/>
  <c r="K284" i="1" s="1"/>
  <c r="L284" i="1" s="1"/>
  <c r="J285" i="1"/>
  <c r="K285" i="1" s="1"/>
  <c r="L285" i="1" s="1"/>
  <c r="J286" i="1"/>
  <c r="M286" i="1" s="1"/>
  <c r="J287" i="1"/>
  <c r="J288" i="1"/>
  <c r="J289" i="1"/>
  <c r="J290" i="1"/>
  <c r="J291" i="1"/>
  <c r="K291" i="1" s="1"/>
  <c r="L291" i="1" s="1"/>
  <c r="J292" i="1"/>
  <c r="M292" i="1" s="1"/>
  <c r="J293" i="1"/>
  <c r="K293" i="1" s="1"/>
  <c r="L293" i="1" s="1"/>
  <c r="J294" i="1"/>
  <c r="K294" i="1" s="1"/>
  <c r="L294" i="1" s="1"/>
  <c r="J295" i="1"/>
  <c r="J296" i="1"/>
  <c r="M296" i="1" s="1"/>
  <c r="J297" i="1"/>
  <c r="M297" i="1" s="1"/>
  <c r="J298" i="1"/>
  <c r="J299" i="1"/>
  <c r="J300" i="1"/>
  <c r="M300" i="1" s="1"/>
  <c r="J301" i="1"/>
  <c r="J302" i="1"/>
  <c r="J303" i="1"/>
  <c r="J304" i="1"/>
  <c r="K304" i="1" s="1"/>
  <c r="L304" i="1" s="1"/>
  <c r="J305" i="1"/>
  <c r="K305" i="1" s="1"/>
  <c r="L305" i="1" s="1"/>
  <c r="J306" i="1"/>
  <c r="K306" i="1" s="1"/>
  <c r="L306" i="1" s="1"/>
  <c r="J307" i="1"/>
  <c r="M307" i="1" s="1"/>
  <c r="J308" i="1"/>
  <c r="M308" i="1" s="1"/>
  <c r="J309" i="1"/>
  <c r="K309" i="1" s="1"/>
  <c r="L309" i="1" s="1"/>
  <c r="J310" i="1"/>
  <c r="M310" i="1" s="1"/>
  <c r="J311" i="1"/>
  <c r="J312" i="1"/>
  <c r="K312" i="1" s="1"/>
  <c r="L312" i="1" s="1"/>
  <c r="J313" i="1"/>
  <c r="J314" i="1"/>
  <c r="K314" i="1" s="1"/>
  <c r="L314" i="1" s="1"/>
  <c r="J315" i="1"/>
  <c r="K315" i="1" s="1"/>
  <c r="L315" i="1" s="1"/>
  <c r="J316" i="1"/>
  <c r="J317" i="1"/>
  <c r="J318" i="1"/>
  <c r="J319" i="1"/>
  <c r="J320" i="1"/>
  <c r="M320" i="1" s="1"/>
  <c r="J321" i="1"/>
  <c r="K321" i="1" s="1"/>
  <c r="L321" i="1" s="1"/>
  <c r="J322" i="1"/>
  <c r="M322" i="1" s="1"/>
  <c r="J323" i="1"/>
  <c r="M323" i="1" s="1"/>
  <c r="J324" i="1"/>
  <c r="K324" i="1" s="1"/>
  <c r="L324" i="1" s="1"/>
  <c r="J325" i="1"/>
  <c r="K325" i="1" s="1"/>
  <c r="L325" i="1" s="1"/>
  <c r="J326" i="1"/>
  <c r="M326" i="1" s="1"/>
  <c r="J327" i="1"/>
  <c r="K327" i="1" s="1"/>
  <c r="L327" i="1" s="1"/>
  <c r="J328" i="1"/>
  <c r="M328" i="1" s="1"/>
  <c r="J329" i="1"/>
  <c r="J330" i="1"/>
  <c r="J331" i="1"/>
  <c r="J332" i="1"/>
  <c r="J333" i="1"/>
  <c r="K333" i="1" s="1"/>
  <c r="L333" i="1" s="1"/>
  <c r="J334" i="1"/>
  <c r="J335" i="1"/>
  <c r="J336" i="1"/>
  <c r="K336" i="1" s="1"/>
  <c r="L336" i="1" s="1"/>
  <c r="J337" i="1"/>
  <c r="K337" i="1" s="1"/>
  <c r="L337" i="1" s="1"/>
  <c r="J338" i="1"/>
  <c r="J339" i="1"/>
  <c r="M339" i="1" s="1"/>
  <c r="J340" i="1"/>
  <c r="M340" i="1" s="1"/>
  <c r="J341" i="1"/>
  <c r="K341" i="1" s="1"/>
  <c r="L341" i="1" s="1"/>
  <c r="J342" i="1"/>
  <c r="J343" i="1"/>
  <c r="K343" i="1" s="1"/>
  <c r="L343" i="1" s="1"/>
  <c r="J344" i="1"/>
  <c r="M344" i="1" s="1"/>
  <c r="J345" i="1"/>
  <c r="J346" i="1"/>
  <c r="J347" i="1"/>
  <c r="J348" i="1"/>
  <c r="K348" i="1" s="1"/>
  <c r="L348" i="1" s="1"/>
  <c r="J349" i="1"/>
  <c r="J350" i="1"/>
  <c r="K350" i="1" s="1"/>
  <c r="L350" i="1" s="1"/>
  <c r="J351" i="1"/>
  <c r="K351" i="1" s="1"/>
  <c r="L351" i="1" s="1"/>
  <c r="J352" i="1"/>
  <c r="M352" i="1" s="1"/>
  <c r="J353" i="1"/>
  <c r="K353" i="1" s="1"/>
  <c r="L353" i="1" s="1"/>
  <c r="J354" i="1"/>
  <c r="K354" i="1" s="1"/>
  <c r="L354" i="1" s="1"/>
  <c r="J355" i="1"/>
  <c r="K355" i="1" s="1"/>
  <c r="L355" i="1" s="1"/>
  <c r="J356" i="1"/>
  <c r="J357" i="1"/>
  <c r="M357" i="1" s="1"/>
  <c r="J358" i="1"/>
  <c r="M358" i="1" s="1"/>
  <c r="J359" i="1"/>
  <c r="J360" i="1"/>
  <c r="J361" i="1"/>
  <c r="M361" i="1" s="1"/>
  <c r="J362" i="1"/>
  <c r="M362" i="1" s="1"/>
  <c r="J363" i="1"/>
  <c r="J364" i="1"/>
  <c r="J365" i="1"/>
  <c r="J366" i="1"/>
  <c r="K366" i="1" s="1"/>
  <c r="J367" i="1"/>
  <c r="K367" i="1" s="1"/>
  <c r="L367" i="1" s="1"/>
  <c r="J368" i="1"/>
  <c r="K368" i="1" s="1"/>
  <c r="L368" i="1" s="1"/>
  <c r="J369" i="1"/>
  <c r="K369" i="1" s="1"/>
  <c r="L369" i="1" s="1"/>
  <c r="J370" i="1"/>
  <c r="M370" i="1" s="1"/>
  <c r="J371" i="1"/>
  <c r="M371" i="1" s="1"/>
  <c r="J372" i="1"/>
  <c r="M372" i="1" s="1"/>
  <c r="J373" i="1"/>
  <c r="K373" i="1" s="1"/>
  <c r="L373" i="1" s="1"/>
  <c r="J374" i="1"/>
  <c r="J375" i="1"/>
  <c r="J376" i="1"/>
  <c r="K376" i="1" s="1"/>
  <c r="L376" i="1" s="1"/>
  <c r="J377" i="1"/>
  <c r="K377" i="1" s="1"/>
  <c r="L377" i="1" s="1"/>
  <c r="J378" i="1"/>
  <c r="J379" i="1"/>
  <c r="J380" i="1"/>
  <c r="J381" i="1"/>
  <c r="J382" i="1"/>
  <c r="M382" i="1" s="1"/>
  <c r="J383" i="1"/>
  <c r="M383" i="1" s="1"/>
  <c r="J384" i="1"/>
  <c r="J385" i="1"/>
  <c r="J386" i="1"/>
  <c r="M386" i="1" s="1"/>
  <c r="J387" i="1"/>
  <c r="K387" i="1" s="1"/>
  <c r="L387" i="1" s="1"/>
  <c r="J388" i="1"/>
  <c r="J389" i="1"/>
  <c r="J390" i="1"/>
  <c r="K390" i="1" s="1"/>
  <c r="L390" i="1" s="1"/>
  <c r="J391" i="1"/>
  <c r="K391" i="1" s="1"/>
  <c r="L391" i="1" s="1"/>
  <c r="J392" i="1"/>
  <c r="J393" i="1"/>
  <c r="K393" i="1" s="1"/>
  <c r="L393" i="1" s="1"/>
  <c r="J394" i="1"/>
  <c r="M394" i="1" s="1"/>
  <c r="J395" i="1"/>
  <c r="M395" i="1" s="1"/>
  <c r="J396" i="1"/>
  <c r="K396" i="1" s="1"/>
  <c r="L396" i="1" s="1"/>
  <c r="J397" i="1"/>
  <c r="K397" i="1" s="1"/>
  <c r="L397" i="1" s="1"/>
  <c r="J398" i="1"/>
  <c r="J399" i="1"/>
  <c r="J400" i="1"/>
  <c r="J401" i="1"/>
  <c r="J402" i="1"/>
  <c r="J403" i="1"/>
  <c r="J404" i="1"/>
  <c r="J405" i="1"/>
  <c r="M405" i="1" s="1"/>
  <c r="J406" i="1"/>
  <c r="M406" i="1" s="1"/>
  <c r="J407" i="1"/>
  <c r="K407" i="1" s="1"/>
  <c r="L407" i="1" s="1"/>
  <c r="J408" i="1"/>
  <c r="K408" i="1" s="1"/>
  <c r="L408" i="1" s="1"/>
  <c r="J409" i="1"/>
  <c r="K409" i="1" s="1"/>
  <c r="L409" i="1" s="1"/>
  <c r="J410" i="1"/>
  <c r="J411" i="1"/>
  <c r="M411" i="1" s="1"/>
  <c r="J412" i="1"/>
  <c r="K412" i="1" s="1"/>
  <c r="L412" i="1" s="1"/>
  <c r="J413" i="1"/>
  <c r="J414" i="1"/>
  <c r="J415" i="1"/>
  <c r="J416" i="1"/>
  <c r="K416" i="1" s="1"/>
  <c r="L416" i="1" s="1"/>
  <c r="J417" i="1"/>
  <c r="K417" i="1" s="1"/>
  <c r="J418" i="1"/>
  <c r="J419" i="1"/>
  <c r="M419" i="1" s="1"/>
  <c r="J420" i="1"/>
  <c r="J421" i="1"/>
  <c r="J422" i="1"/>
  <c r="J423" i="1"/>
  <c r="K423" i="1" s="1"/>
  <c r="L423" i="1" s="1"/>
  <c r="J424" i="1"/>
  <c r="K424" i="1" s="1"/>
  <c r="L424" i="1" s="1"/>
  <c r="J425" i="1"/>
  <c r="J426" i="1"/>
  <c r="K426" i="1" s="1"/>
  <c r="L426" i="1" s="1"/>
  <c r="J427" i="1"/>
  <c r="J428" i="1"/>
  <c r="M428" i="1" s="1"/>
  <c r="J429" i="1"/>
  <c r="K429" i="1" s="1"/>
  <c r="L429" i="1" s="1"/>
  <c r="J430" i="1"/>
  <c r="M430" i="1" s="1"/>
  <c r="J431" i="1"/>
  <c r="J432" i="1"/>
  <c r="J433" i="1"/>
  <c r="K433" i="1" s="1"/>
  <c r="L433" i="1" s="1"/>
  <c r="J434" i="1"/>
  <c r="M434" i="1" s="1"/>
  <c r="J435" i="1"/>
  <c r="M435" i="1" s="1"/>
  <c r="J436" i="1"/>
  <c r="J437" i="1"/>
  <c r="K437" i="1" s="1"/>
  <c r="L437" i="1" s="1"/>
  <c r="J438" i="1"/>
  <c r="J439" i="1"/>
  <c r="J440" i="1"/>
  <c r="J441" i="1"/>
  <c r="M441" i="1" s="1"/>
  <c r="J442" i="1"/>
  <c r="M442" i="1" s="1"/>
  <c r="J443" i="1"/>
  <c r="M443" i="1" s="1"/>
  <c r="J444" i="1"/>
  <c r="K444" i="1" s="1"/>
  <c r="L444" i="1" s="1"/>
  <c r="J445" i="1"/>
  <c r="K445" i="1" s="1"/>
  <c r="L445" i="1" s="1"/>
  <c r="J446" i="1"/>
  <c r="J447" i="1"/>
  <c r="K447" i="1" s="1"/>
  <c r="L447" i="1" s="1"/>
  <c r="J448" i="1"/>
  <c r="M448" i="1" s="1"/>
  <c r="J449" i="1"/>
  <c r="K449" i="1" s="1"/>
  <c r="L449" i="1" s="1"/>
  <c r="J450" i="1"/>
  <c r="K450" i="1" s="1"/>
  <c r="L450" i="1" s="1"/>
  <c r="J451" i="1"/>
  <c r="K451" i="1" s="1"/>
  <c r="L451" i="1" s="1"/>
  <c r="J452" i="1"/>
  <c r="K452" i="1" s="1"/>
  <c r="L452" i="1" s="1"/>
  <c r="J453" i="1"/>
  <c r="M453" i="1" s="1"/>
  <c r="J454" i="1"/>
  <c r="J455" i="1"/>
  <c r="M455" i="1" s="1"/>
  <c r="J456" i="1"/>
  <c r="M456" i="1" s="1"/>
  <c r="J457" i="1"/>
  <c r="J458" i="1"/>
  <c r="J459" i="1"/>
  <c r="J460" i="1"/>
  <c r="J461" i="1"/>
  <c r="J462" i="1"/>
  <c r="K462" i="1" s="1"/>
  <c r="L462" i="1" s="1"/>
  <c r="J463" i="1"/>
  <c r="K463" i="1" s="1"/>
  <c r="L463" i="1" s="1"/>
  <c r="J464" i="1"/>
  <c r="K464" i="1" s="1"/>
  <c r="L464" i="1" s="1"/>
  <c r="J465" i="1"/>
  <c r="K465" i="1" s="1"/>
  <c r="L465" i="1" s="1"/>
  <c r="J466" i="1"/>
  <c r="M466" i="1" s="1"/>
  <c r="J467" i="1"/>
  <c r="J468" i="1"/>
  <c r="J469" i="1"/>
  <c r="M469" i="1" s="1"/>
  <c r="J470" i="1"/>
  <c r="K470" i="1" s="1"/>
  <c r="L470" i="1" s="1"/>
  <c r="J471" i="1"/>
  <c r="K471" i="1" s="1"/>
  <c r="L471" i="1" s="1"/>
  <c r="J472" i="1"/>
  <c r="K472" i="1" s="1"/>
  <c r="L472" i="1" s="1"/>
  <c r="J473" i="1"/>
  <c r="J474" i="1"/>
  <c r="J475" i="1"/>
  <c r="J476" i="1"/>
  <c r="J477" i="1"/>
  <c r="M477" i="1" s="1"/>
  <c r="J478" i="1"/>
  <c r="M478" i="1" s="1"/>
  <c r="J479" i="1"/>
  <c r="K479" i="1" s="1"/>
  <c r="L479" i="1" s="1"/>
  <c r="J480" i="1"/>
  <c r="J481" i="1"/>
  <c r="J482" i="1"/>
  <c r="K482" i="1" s="1"/>
  <c r="L482" i="1" s="1"/>
  <c r="J483" i="1"/>
  <c r="K483" i="1" s="1"/>
  <c r="L483" i="1" s="1"/>
  <c r="J484" i="1"/>
  <c r="K484" i="1" s="1"/>
  <c r="L484" i="1" s="1"/>
  <c r="J485" i="1"/>
  <c r="K485" i="1" s="1"/>
  <c r="L485" i="1" s="1"/>
  <c r="J486" i="1"/>
  <c r="J487" i="1"/>
  <c r="M487" i="1" s="1"/>
  <c r="J488" i="1"/>
  <c r="J489" i="1"/>
  <c r="K489" i="1" s="1"/>
  <c r="L489" i="1" s="1"/>
  <c r="J490" i="1"/>
  <c r="J491" i="1"/>
  <c r="M491" i="1" s="1"/>
  <c r="J492" i="1"/>
  <c r="M492" i="1" s="1"/>
  <c r="J493" i="1"/>
  <c r="J494" i="1"/>
  <c r="J495" i="1"/>
  <c r="M495" i="1" s="1"/>
  <c r="J496" i="1"/>
  <c r="M496" i="1" s="1"/>
  <c r="J497" i="1"/>
  <c r="K497" i="1" s="1"/>
  <c r="L497" i="1" s="1"/>
  <c r="J498" i="1"/>
  <c r="J499" i="1"/>
  <c r="K499" i="1" s="1"/>
  <c r="L499" i="1" s="1"/>
  <c r="J500" i="1"/>
  <c r="K500" i="1" s="1"/>
  <c r="L500" i="1" s="1"/>
  <c r="J501" i="1"/>
  <c r="K501" i="1" s="1"/>
  <c r="L501" i="1" s="1"/>
  <c r="J502" i="1"/>
  <c r="M502" i="1" s="1"/>
  <c r="J503" i="1"/>
  <c r="K503" i="1" s="1"/>
  <c r="L503" i="1" s="1"/>
  <c r="J504" i="1"/>
  <c r="J505" i="1"/>
  <c r="J506" i="1"/>
  <c r="J507" i="1"/>
  <c r="M507" i="1" s="1"/>
  <c r="J508" i="1"/>
  <c r="M508" i="1" s="1"/>
  <c r="J509" i="1"/>
  <c r="J510" i="1"/>
  <c r="K510" i="1" s="1"/>
  <c r="L510" i="1" s="1"/>
  <c r="J511" i="1"/>
  <c r="K511" i="1" s="1"/>
  <c r="L511" i="1" s="1"/>
  <c r="J512" i="1"/>
  <c r="M512" i="1" s="1"/>
  <c r="J513" i="1"/>
  <c r="M513" i="1" s="1"/>
  <c r="J2" i="1"/>
  <c r="M2" i="1" s="1"/>
  <c r="K323" i="1" l="1"/>
  <c r="L323" i="1" s="1"/>
  <c r="K71" i="1"/>
  <c r="L71" i="1" s="1"/>
  <c r="K15" i="1"/>
  <c r="L15" i="1" s="1"/>
  <c r="M85" i="1"/>
  <c r="M44" i="1"/>
  <c r="K142" i="1"/>
  <c r="L142" i="1" s="1"/>
  <c r="K106" i="1"/>
  <c r="L106" i="1" s="1"/>
  <c r="M407" i="1"/>
  <c r="M327" i="1"/>
  <c r="K227" i="1"/>
  <c r="L227" i="1" s="1"/>
  <c r="K179" i="1"/>
  <c r="L179" i="1" s="1"/>
  <c r="K394" i="1"/>
  <c r="L394" i="1" s="1"/>
  <c r="K322" i="1"/>
  <c r="L322" i="1" s="1"/>
  <c r="K95" i="1"/>
  <c r="L95" i="1" s="1"/>
  <c r="K69" i="1"/>
  <c r="L69" i="1" s="1"/>
  <c r="K41" i="1"/>
  <c r="L41" i="1" s="1"/>
  <c r="K13" i="1"/>
  <c r="L13" i="1" s="1"/>
  <c r="M84" i="1"/>
  <c r="M38" i="1"/>
  <c r="M482" i="1"/>
  <c r="M325" i="1"/>
  <c r="M269" i="1"/>
  <c r="M149" i="1"/>
  <c r="K226" i="1"/>
  <c r="L226" i="1" s="1"/>
  <c r="K177" i="1"/>
  <c r="L177" i="1" s="1"/>
  <c r="K455" i="1"/>
  <c r="L455" i="1" s="1"/>
  <c r="K166" i="1"/>
  <c r="L166" i="1" s="1"/>
  <c r="K214" i="1"/>
  <c r="L214" i="1" s="1"/>
  <c r="K442" i="1"/>
  <c r="L442" i="1" s="1"/>
  <c r="M309" i="1"/>
  <c r="K153" i="1"/>
  <c r="L153" i="1" s="1"/>
  <c r="K435" i="1"/>
  <c r="L435" i="1" s="1"/>
  <c r="K296" i="1"/>
  <c r="L296" i="1" s="1"/>
  <c r="K51" i="1"/>
  <c r="L51" i="1" s="1"/>
  <c r="K29" i="1"/>
  <c r="L29" i="1" s="1"/>
  <c r="M61" i="1"/>
  <c r="M22" i="1"/>
  <c r="K130" i="1"/>
  <c r="L130" i="1" s="1"/>
  <c r="M501" i="1"/>
  <c r="M426" i="1"/>
  <c r="M353" i="1"/>
  <c r="M294" i="1"/>
  <c r="M249" i="1"/>
  <c r="M180" i="1"/>
  <c r="M113" i="1"/>
  <c r="K204" i="1"/>
  <c r="L204" i="1" s="1"/>
  <c r="K430" i="1"/>
  <c r="L430" i="1" s="1"/>
  <c r="K361" i="1"/>
  <c r="L361" i="1" s="1"/>
  <c r="M87" i="1"/>
  <c r="K39" i="1"/>
  <c r="L39" i="1" s="1"/>
  <c r="M479" i="1"/>
  <c r="K443" i="1"/>
  <c r="L443" i="1" s="1"/>
  <c r="M70" i="1"/>
  <c r="M189" i="1"/>
  <c r="K382" i="1"/>
  <c r="L382" i="1" s="1"/>
  <c r="K134" i="1"/>
  <c r="L134" i="1" s="1"/>
  <c r="M369" i="1"/>
  <c r="K206" i="1"/>
  <c r="L206" i="1" s="1"/>
  <c r="K512" i="1"/>
  <c r="L512" i="1" s="1"/>
  <c r="K371" i="1"/>
  <c r="L371" i="1" s="1"/>
  <c r="M503" i="1"/>
  <c r="M429" i="1"/>
  <c r="M368" i="1"/>
  <c r="M181" i="1"/>
  <c r="K250" i="1"/>
  <c r="L250" i="1" s="1"/>
  <c r="K370" i="1"/>
  <c r="L370" i="1" s="1"/>
  <c r="K83" i="1"/>
  <c r="L83" i="1" s="1"/>
  <c r="K50" i="1"/>
  <c r="L50" i="1" s="1"/>
  <c r="K24" i="1"/>
  <c r="L24" i="1" s="1"/>
  <c r="M500" i="1"/>
  <c r="M424" i="1"/>
  <c r="M350" i="1"/>
  <c r="M293" i="1"/>
  <c r="M109" i="1"/>
  <c r="K240" i="1"/>
  <c r="L240" i="1" s="1"/>
  <c r="K203" i="1"/>
  <c r="L203" i="1" s="1"/>
  <c r="K478" i="1"/>
  <c r="L478" i="1" s="1"/>
  <c r="K428" i="1"/>
  <c r="L428" i="1" s="1"/>
  <c r="K358" i="1"/>
  <c r="L358" i="1" s="1"/>
  <c r="M266" i="1"/>
  <c r="K386" i="1"/>
  <c r="L386" i="1" s="1"/>
  <c r="K383" i="1"/>
  <c r="L383" i="1" s="1"/>
  <c r="K59" i="1"/>
  <c r="L59" i="1" s="1"/>
  <c r="M35" i="1"/>
  <c r="K86" i="1"/>
  <c r="L86" i="1" s="1"/>
  <c r="M34" i="1"/>
  <c r="M452" i="1"/>
  <c r="K164" i="1"/>
  <c r="L164" i="1" s="1"/>
  <c r="K297" i="1"/>
  <c r="L297" i="1" s="1"/>
  <c r="M23" i="1"/>
  <c r="K133" i="1"/>
  <c r="L133" i="1" s="1"/>
  <c r="K205" i="1"/>
  <c r="L205" i="1" s="1"/>
  <c r="K491" i="1"/>
  <c r="L491" i="1" s="1"/>
  <c r="K434" i="1"/>
  <c r="L434" i="1" s="1"/>
  <c r="K49" i="1"/>
  <c r="L49" i="1" s="1"/>
  <c r="M94" i="1"/>
  <c r="M58" i="1"/>
  <c r="K118" i="1"/>
  <c r="L118" i="1" s="1"/>
  <c r="M423" i="1"/>
  <c r="M348" i="1"/>
  <c r="M291" i="1"/>
  <c r="M233" i="1"/>
  <c r="M168" i="1"/>
  <c r="M108" i="1"/>
  <c r="K239" i="1"/>
  <c r="L239" i="1" s="1"/>
  <c r="K200" i="1"/>
  <c r="L200" i="1" s="1"/>
  <c r="K477" i="1"/>
  <c r="L477" i="1" s="1"/>
  <c r="K352" i="1"/>
  <c r="L352" i="1" s="1"/>
  <c r="K275" i="1"/>
  <c r="L275" i="1" s="1"/>
  <c r="M379" i="1"/>
  <c r="K379" i="1"/>
  <c r="L379" i="1" s="1"/>
  <c r="K319" i="1"/>
  <c r="L319" i="1" s="1"/>
  <c r="M319" i="1"/>
  <c r="M235" i="1"/>
  <c r="K235" i="1"/>
  <c r="L235" i="1" s="1"/>
  <c r="M103" i="1"/>
  <c r="K103" i="1"/>
  <c r="L103" i="1" s="1"/>
  <c r="M355" i="1"/>
  <c r="K487" i="1"/>
  <c r="L487" i="1" s="1"/>
  <c r="K258" i="1"/>
  <c r="L258" i="1" s="1"/>
  <c r="M258" i="1"/>
  <c r="M114" i="1"/>
  <c r="K114" i="1"/>
  <c r="L114" i="1" s="1"/>
  <c r="K102" i="1"/>
  <c r="L102" i="1" s="1"/>
  <c r="M316" i="1"/>
  <c r="K316" i="1"/>
  <c r="L316" i="1" s="1"/>
  <c r="K172" i="1"/>
  <c r="L172" i="1" s="1"/>
  <c r="M172" i="1"/>
  <c r="K112" i="1"/>
  <c r="L112" i="1" s="1"/>
  <c r="M112" i="1"/>
  <c r="M76" i="1"/>
  <c r="K76" i="1"/>
  <c r="L76" i="1" s="1"/>
  <c r="M511" i="1"/>
  <c r="M483" i="1"/>
  <c r="M450" i="1"/>
  <c r="M387" i="1"/>
  <c r="M351" i="1"/>
  <c r="M223" i="1"/>
  <c r="M148" i="1"/>
  <c r="K439" i="1"/>
  <c r="L439" i="1" s="1"/>
  <c r="M439" i="1"/>
  <c r="K259" i="1"/>
  <c r="L259" i="1" s="1"/>
  <c r="M259" i="1"/>
  <c r="K187" i="1"/>
  <c r="L187" i="1" s="1"/>
  <c r="M187" i="1"/>
  <c r="M139" i="1"/>
  <c r="K139" i="1"/>
  <c r="L139" i="1" s="1"/>
  <c r="M19" i="1"/>
  <c r="K247" i="1"/>
  <c r="L247" i="1" s="1"/>
  <c r="K498" i="1"/>
  <c r="L498" i="1" s="1"/>
  <c r="M498" i="1"/>
  <c r="K474" i="1"/>
  <c r="L474" i="1" s="1"/>
  <c r="M474" i="1"/>
  <c r="K438" i="1"/>
  <c r="L438" i="1" s="1"/>
  <c r="M438" i="1"/>
  <c r="K402" i="1"/>
  <c r="L402" i="1" s="1"/>
  <c r="M402" i="1"/>
  <c r="K378" i="1"/>
  <c r="L378" i="1" s="1"/>
  <c r="M378" i="1"/>
  <c r="K342" i="1"/>
  <c r="L342" i="1" s="1"/>
  <c r="M342" i="1"/>
  <c r="K174" i="1"/>
  <c r="L174" i="1" s="1"/>
  <c r="M174" i="1"/>
  <c r="M354" i="1"/>
  <c r="M451" i="1"/>
  <c r="K307" i="1"/>
  <c r="L307" i="1" s="1"/>
  <c r="K460" i="1"/>
  <c r="L460" i="1" s="1"/>
  <c r="M460" i="1"/>
  <c r="M388" i="1"/>
  <c r="K388" i="1"/>
  <c r="L388" i="1" s="1"/>
  <c r="M364" i="1"/>
  <c r="K364" i="1"/>
  <c r="L364" i="1" s="1"/>
  <c r="M447" i="1"/>
  <c r="M314" i="1"/>
  <c r="M493" i="1"/>
  <c r="K493" i="1"/>
  <c r="L493" i="1" s="1"/>
  <c r="K457" i="1"/>
  <c r="L457" i="1" s="1"/>
  <c r="M457" i="1"/>
  <c r="K421" i="1"/>
  <c r="L421" i="1" s="1"/>
  <c r="M421" i="1"/>
  <c r="M313" i="1"/>
  <c r="K313" i="1"/>
  <c r="L313" i="1" s="1"/>
  <c r="M193" i="1"/>
  <c r="K193" i="1"/>
  <c r="L193" i="1" s="1"/>
  <c r="K63" i="1"/>
  <c r="L63" i="1" s="1"/>
  <c r="K7" i="1"/>
  <c r="L7" i="1" s="1"/>
  <c r="M54" i="1"/>
  <c r="K123" i="1"/>
  <c r="L123" i="1" s="1"/>
  <c r="M472" i="1"/>
  <c r="M445" i="1"/>
  <c r="M409" i="1"/>
  <c r="M376" i="1"/>
  <c r="M343" i="1"/>
  <c r="M282" i="1"/>
  <c r="M211" i="1"/>
  <c r="M138" i="1"/>
  <c r="M99" i="1"/>
  <c r="K198" i="1"/>
  <c r="L198" i="1" s="1"/>
  <c r="K508" i="1"/>
  <c r="L508" i="1" s="1"/>
  <c r="K339" i="1"/>
  <c r="L339" i="1" s="1"/>
  <c r="K292" i="1"/>
  <c r="L292" i="1" s="1"/>
  <c r="K504" i="1"/>
  <c r="L504" i="1" s="1"/>
  <c r="M504" i="1"/>
  <c r="M480" i="1"/>
  <c r="K480" i="1"/>
  <c r="L480" i="1" s="1"/>
  <c r="M468" i="1"/>
  <c r="K468" i="1"/>
  <c r="L468" i="1" s="1"/>
  <c r="K432" i="1"/>
  <c r="L432" i="1" s="1"/>
  <c r="M432" i="1"/>
  <c r="K420" i="1"/>
  <c r="L420" i="1" s="1"/>
  <c r="M420" i="1"/>
  <c r="K384" i="1"/>
  <c r="L384" i="1" s="1"/>
  <c r="M384" i="1"/>
  <c r="M360" i="1"/>
  <c r="K360" i="1"/>
  <c r="L360" i="1" s="1"/>
  <c r="M288" i="1"/>
  <c r="K288" i="1"/>
  <c r="L288" i="1" s="1"/>
  <c r="K228" i="1"/>
  <c r="L228" i="1" s="1"/>
  <c r="M228" i="1"/>
  <c r="M216" i="1"/>
  <c r="K216" i="1"/>
  <c r="L216" i="1" s="1"/>
  <c r="M156" i="1"/>
  <c r="K156" i="1"/>
  <c r="L156" i="1" s="1"/>
  <c r="M144" i="1"/>
  <c r="K144" i="1"/>
  <c r="L144" i="1" s="1"/>
  <c r="K132" i="1"/>
  <c r="L132" i="1" s="1"/>
  <c r="M132" i="1"/>
  <c r="K120" i="1"/>
  <c r="L120" i="1" s="1"/>
  <c r="M120" i="1"/>
  <c r="M12" i="1"/>
  <c r="K12" i="1"/>
  <c r="L12" i="1" s="1"/>
  <c r="K78" i="1"/>
  <c r="L78" i="1" s="1"/>
  <c r="K62" i="1"/>
  <c r="L62" i="1" s="1"/>
  <c r="K28" i="1"/>
  <c r="L28" i="1" s="1"/>
  <c r="M73" i="1"/>
  <c r="M52" i="1"/>
  <c r="K150" i="1"/>
  <c r="L150" i="1" s="1"/>
  <c r="M471" i="1"/>
  <c r="M444" i="1"/>
  <c r="M408" i="1"/>
  <c r="M373" i="1"/>
  <c r="M246" i="1"/>
  <c r="M210" i="1"/>
  <c r="M97" i="1"/>
  <c r="K255" i="1"/>
  <c r="L255" i="1" s="1"/>
  <c r="K507" i="1"/>
  <c r="L507" i="1" s="1"/>
  <c r="K456" i="1"/>
  <c r="L456" i="1" s="1"/>
  <c r="K372" i="1"/>
  <c r="L372" i="1" s="1"/>
  <c r="K328" i="1"/>
  <c r="L328" i="1" s="1"/>
  <c r="K475" i="1"/>
  <c r="L475" i="1" s="1"/>
  <c r="M475" i="1"/>
  <c r="M427" i="1"/>
  <c r="K427" i="1"/>
  <c r="L427" i="1" s="1"/>
  <c r="K403" i="1"/>
  <c r="L403" i="1" s="1"/>
  <c r="M403" i="1"/>
  <c r="K331" i="1"/>
  <c r="L331" i="1" s="1"/>
  <c r="M331" i="1"/>
  <c r="K31" i="1"/>
  <c r="L31" i="1" s="1"/>
  <c r="M31" i="1"/>
  <c r="K55" i="1"/>
  <c r="L55" i="1" s="1"/>
  <c r="K486" i="1"/>
  <c r="L486" i="1" s="1"/>
  <c r="M486" i="1"/>
  <c r="K318" i="1"/>
  <c r="L318" i="1" s="1"/>
  <c r="M318" i="1"/>
  <c r="K162" i="1"/>
  <c r="L162" i="1" s="1"/>
  <c r="M162" i="1"/>
  <c r="M6" i="1"/>
  <c r="K6" i="1"/>
  <c r="L6" i="1" s="1"/>
  <c r="K256" i="1"/>
  <c r="L256" i="1" s="1"/>
  <c r="M256" i="1"/>
  <c r="K124" i="1"/>
  <c r="L124" i="1" s="1"/>
  <c r="M124" i="1"/>
  <c r="K67" i="1"/>
  <c r="L67" i="1" s="1"/>
  <c r="M375" i="1"/>
  <c r="K375" i="1"/>
  <c r="L375" i="1" s="1"/>
  <c r="K363" i="1"/>
  <c r="L363" i="1" s="1"/>
  <c r="M363" i="1"/>
  <c r="M279" i="1"/>
  <c r="K279" i="1"/>
  <c r="L279" i="1" s="1"/>
  <c r="K231" i="1"/>
  <c r="L231" i="1" s="1"/>
  <c r="M231" i="1"/>
  <c r="K159" i="1"/>
  <c r="L159" i="1" s="1"/>
  <c r="M159" i="1"/>
  <c r="K135" i="1"/>
  <c r="L135" i="1" s="1"/>
  <c r="M135" i="1"/>
  <c r="K111" i="1"/>
  <c r="L111" i="1" s="1"/>
  <c r="M111" i="1"/>
  <c r="K100" i="1"/>
  <c r="L100" i="1" s="1"/>
  <c r="M315" i="1"/>
  <c r="M147" i="1"/>
  <c r="M458" i="1"/>
  <c r="K458" i="1"/>
  <c r="L458" i="1" s="1"/>
  <c r="K422" i="1"/>
  <c r="L422" i="1" s="1"/>
  <c r="M422" i="1"/>
  <c r="M410" i="1"/>
  <c r="K410" i="1"/>
  <c r="L410" i="1" s="1"/>
  <c r="M398" i="1"/>
  <c r="K398" i="1"/>
  <c r="L398" i="1" s="1"/>
  <c r="M302" i="1"/>
  <c r="K302" i="1"/>
  <c r="L302" i="1" s="1"/>
  <c r="M278" i="1"/>
  <c r="K278" i="1"/>
  <c r="L278" i="1" s="1"/>
  <c r="K194" i="1"/>
  <c r="L194" i="1" s="1"/>
  <c r="M194" i="1"/>
  <c r="K110" i="1"/>
  <c r="L110" i="1" s="1"/>
  <c r="M110" i="1"/>
  <c r="K98" i="1"/>
  <c r="L98" i="1" s="1"/>
  <c r="M98" i="1"/>
  <c r="M412" i="1"/>
  <c r="K505" i="1"/>
  <c r="L505" i="1" s="1"/>
  <c r="M505" i="1"/>
  <c r="M349" i="1"/>
  <c r="K349" i="1"/>
  <c r="L349" i="1" s="1"/>
  <c r="M289" i="1"/>
  <c r="K289" i="1"/>
  <c r="L289" i="1" s="1"/>
  <c r="K151" i="1"/>
  <c r="L151" i="1" s="1"/>
  <c r="K25" i="1"/>
  <c r="L25" i="1" s="1"/>
  <c r="M470" i="1"/>
  <c r="M271" i="1"/>
  <c r="K91" i="1"/>
  <c r="L91" i="1" s="1"/>
  <c r="K43" i="1"/>
  <c r="L43" i="1" s="1"/>
  <c r="M499" i="1"/>
  <c r="M270" i="1"/>
  <c r="M241" i="1"/>
  <c r="M126" i="1"/>
  <c r="K495" i="1"/>
  <c r="L495" i="1" s="1"/>
  <c r="K276" i="1"/>
  <c r="L276" i="1" s="1"/>
  <c r="K330" i="1"/>
  <c r="L330" i="1" s="1"/>
  <c r="M330" i="1"/>
  <c r="M234" i="1"/>
  <c r="K234" i="1"/>
  <c r="L234" i="1" s="1"/>
  <c r="M391" i="1"/>
  <c r="K436" i="1"/>
  <c r="L436" i="1" s="1"/>
  <c r="M436" i="1"/>
  <c r="K184" i="1"/>
  <c r="L184" i="1" s="1"/>
  <c r="M184" i="1"/>
  <c r="M64" i="1"/>
  <c r="K64" i="1"/>
  <c r="L64" i="1" s="1"/>
  <c r="M303" i="1"/>
  <c r="K303" i="1"/>
  <c r="L303" i="1" s="1"/>
  <c r="K243" i="1"/>
  <c r="L243" i="1" s="1"/>
  <c r="M243" i="1"/>
  <c r="K219" i="1"/>
  <c r="L219" i="1" s="1"/>
  <c r="M219" i="1"/>
  <c r="K195" i="1"/>
  <c r="L195" i="1" s="1"/>
  <c r="M195" i="1"/>
  <c r="K171" i="1"/>
  <c r="L171" i="1" s="1"/>
  <c r="M171" i="1"/>
  <c r="M4" i="1"/>
  <c r="M494" i="1"/>
  <c r="K494" i="1"/>
  <c r="L494" i="1" s="1"/>
  <c r="M374" i="1"/>
  <c r="K374" i="1"/>
  <c r="L374" i="1" s="1"/>
  <c r="M338" i="1"/>
  <c r="K338" i="1"/>
  <c r="L338" i="1" s="1"/>
  <c r="K290" i="1"/>
  <c r="L290" i="1" s="1"/>
  <c r="M290" i="1"/>
  <c r="M170" i="1"/>
  <c r="K170" i="1"/>
  <c r="L170" i="1" s="1"/>
  <c r="K146" i="1"/>
  <c r="L146" i="1" s="1"/>
  <c r="M146" i="1"/>
  <c r="K14" i="1"/>
  <c r="L14" i="1" s="1"/>
  <c r="M14" i="1"/>
  <c r="K30" i="1"/>
  <c r="L30" i="1" s="1"/>
  <c r="M26" i="1"/>
  <c r="M283" i="1"/>
  <c r="M220" i="1"/>
  <c r="K301" i="1"/>
  <c r="L301" i="1" s="1"/>
  <c r="M301" i="1"/>
  <c r="M145" i="1"/>
  <c r="K145" i="1"/>
  <c r="L145" i="1" s="1"/>
  <c r="M337" i="1"/>
  <c r="M242" i="1"/>
  <c r="M169" i="1"/>
  <c r="M127" i="1"/>
  <c r="K222" i="1"/>
  <c r="L222" i="1" s="1"/>
  <c r="K186" i="1"/>
  <c r="L186" i="1" s="1"/>
  <c r="K254" i="1"/>
  <c r="L254" i="1" s="1"/>
  <c r="K496" i="1"/>
  <c r="L496" i="1" s="1"/>
  <c r="M306" i="1"/>
  <c r="K411" i="1"/>
  <c r="L411" i="1" s="1"/>
  <c r="K90" i="1"/>
  <c r="L90" i="1" s="1"/>
  <c r="K74" i="1"/>
  <c r="L74" i="1" s="1"/>
  <c r="K115" i="1"/>
  <c r="L115" i="1" s="1"/>
  <c r="M464" i="1"/>
  <c r="M433" i="1"/>
  <c r="M397" i="1"/>
  <c r="M367" i="1"/>
  <c r="M199" i="1"/>
  <c r="K218" i="1"/>
  <c r="L218" i="1" s="1"/>
  <c r="K182" i="1"/>
  <c r="L182" i="1" s="1"/>
  <c r="K492" i="1"/>
  <c r="L492" i="1" s="1"/>
  <c r="K448" i="1"/>
  <c r="L448" i="1" s="1"/>
  <c r="M415" i="1"/>
  <c r="K415" i="1"/>
  <c r="L415" i="1" s="1"/>
  <c r="K295" i="1"/>
  <c r="L295" i="1" s="1"/>
  <c r="M295" i="1"/>
  <c r="K175" i="1"/>
  <c r="L175" i="1" s="1"/>
  <c r="M175" i="1"/>
  <c r="K414" i="1"/>
  <c r="L414" i="1" s="1"/>
  <c r="M414" i="1"/>
  <c r="M18" i="1"/>
  <c r="K18" i="1"/>
  <c r="L18" i="1" s="1"/>
  <c r="M390" i="1"/>
  <c r="K400" i="1"/>
  <c r="L400" i="1" s="1"/>
  <c r="M400" i="1"/>
  <c r="K280" i="1"/>
  <c r="L280" i="1" s="1"/>
  <c r="M280" i="1"/>
  <c r="K268" i="1"/>
  <c r="L268" i="1" s="1"/>
  <c r="M268" i="1"/>
  <c r="K244" i="1"/>
  <c r="L244" i="1" s="1"/>
  <c r="M244" i="1"/>
  <c r="K196" i="1"/>
  <c r="L196" i="1" s="1"/>
  <c r="M196" i="1"/>
  <c r="K459" i="1"/>
  <c r="L459" i="1" s="1"/>
  <c r="M459" i="1"/>
  <c r="M399" i="1"/>
  <c r="K399" i="1"/>
  <c r="L399" i="1" s="1"/>
  <c r="K207" i="1"/>
  <c r="L207" i="1" s="1"/>
  <c r="M207" i="1"/>
  <c r="M27" i="1"/>
  <c r="K27" i="1"/>
  <c r="L27" i="1" s="1"/>
  <c r="K66" i="1"/>
  <c r="L66" i="1" s="1"/>
  <c r="M510" i="1"/>
  <c r="M183" i="1"/>
  <c r="M506" i="1"/>
  <c r="K506" i="1"/>
  <c r="L506" i="1" s="1"/>
  <c r="K446" i="1"/>
  <c r="L446" i="1" s="1"/>
  <c r="M446" i="1"/>
  <c r="M230" i="1"/>
  <c r="K230" i="1"/>
  <c r="L230" i="1" s="1"/>
  <c r="M158" i="1"/>
  <c r="K158" i="1"/>
  <c r="L158" i="1" s="1"/>
  <c r="M75" i="1"/>
  <c r="M3" i="1"/>
  <c r="K340" i="1"/>
  <c r="L340" i="1" s="1"/>
  <c r="M481" i="1"/>
  <c r="K481" i="1"/>
  <c r="L481" i="1" s="1"/>
  <c r="M385" i="1"/>
  <c r="K385" i="1"/>
  <c r="L385" i="1" s="1"/>
  <c r="K277" i="1"/>
  <c r="L277" i="1" s="1"/>
  <c r="M277" i="1"/>
  <c r="K157" i="1"/>
  <c r="L157" i="1" s="1"/>
  <c r="M157" i="1"/>
  <c r="K121" i="1"/>
  <c r="L121" i="1" s="1"/>
  <c r="M121" i="1"/>
  <c r="K79" i="1"/>
  <c r="L79" i="1" s="1"/>
  <c r="M208" i="1"/>
  <c r="K326" i="1"/>
  <c r="L326" i="1" s="1"/>
  <c r="M336" i="1"/>
  <c r="K42" i="1"/>
  <c r="L42" i="1" s="1"/>
  <c r="M488" i="1"/>
  <c r="K488" i="1"/>
  <c r="L488" i="1" s="1"/>
  <c r="K476" i="1"/>
  <c r="L476" i="1" s="1"/>
  <c r="M476" i="1"/>
  <c r="M440" i="1"/>
  <c r="K440" i="1"/>
  <c r="L440" i="1" s="1"/>
  <c r="K404" i="1"/>
  <c r="L404" i="1" s="1"/>
  <c r="M404" i="1"/>
  <c r="M392" i="1"/>
  <c r="K392" i="1"/>
  <c r="L392" i="1" s="1"/>
  <c r="M380" i="1"/>
  <c r="K380" i="1"/>
  <c r="L380" i="1" s="1"/>
  <c r="M356" i="1"/>
  <c r="K356" i="1"/>
  <c r="L356" i="1" s="1"/>
  <c r="K332" i="1"/>
  <c r="L332" i="1" s="1"/>
  <c r="M332" i="1"/>
  <c r="M272" i="1"/>
  <c r="K272" i="1"/>
  <c r="L272" i="1" s="1"/>
  <c r="K260" i="1"/>
  <c r="L260" i="1" s="1"/>
  <c r="M260" i="1"/>
  <c r="K248" i="1"/>
  <c r="L248" i="1" s="1"/>
  <c r="M248" i="1"/>
  <c r="K236" i="1"/>
  <c r="L236" i="1" s="1"/>
  <c r="M236" i="1"/>
  <c r="K212" i="1"/>
  <c r="L212" i="1" s="1"/>
  <c r="M212" i="1"/>
  <c r="K188" i="1"/>
  <c r="L188" i="1" s="1"/>
  <c r="M188" i="1"/>
  <c r="M152" i="1"/>
  <c r="K152" i="1"/>
  <c r="L152" i="1" s="1"/>
  <c r="M128" i="1"/>
  <c r="K128" i="1"/>
  <c r="L128" i="1" s="1"/>
  <c r="M92" i="1"/>
  <c r="K92" i="1"/>
  <c r="L92" i="1" s="1"/>
  <c r="M80" i="1"/>
  <c r="K80" i="1"/>
  <c r="L80" i="1" s="1"/>
  <c r="M68" i="1"/>
  <c r="K68" i="1"/>
  <c r="L68" i="1" s="1"/>
  <c r="M56" i="1"/>
  <c r="K56" i="1"/>
  <c r="L56" i="1" s="1"/>
  <c r="M32" i="1"/>
  <c r="K32" i="1"/>
  <c r="L32" i="1" s="1"/>
  <c r="M88" i="1"/>
  <c r="M40" i="1"/>
  <c r="M20" i="1"/>
  <c r="M463" i="1"/>
  <c r="M396" i="1"/>
  <c r="M366" i="1"/>
  <c r="M304" i="1"/>
  <c r="M267" i="1"/>
  <c r="M163" i="1"/>
  <c r="M122" i="1"/>
  <c r="K217" i="1"/>
  <c r="L217" i="1" s="1"/>
  <c r="K362" i="1"/>
  <c r="L362" i="1" s="1"/>
  <c r="K509" i="1"/>
  <c r="L509" i="1" s="1"/>
  <c r="M509" i="1"/>
  <c r="K473" i="1"/>
  <c r="L473" i="1" s="1"/>
  <c r="M473" i="1"/>
  <c r="K461" i="1"/>
  <c r="L461" i="1" s="1"/>
  <c r="M461" i="1"/>
  <c r="K425" i="1"/>
  <c r="L425" i="1" s="1"/>
  <c r="M425" i="1"/>
  <c r="K413" i="1"/>
  <c r="L413" i="1" s="1"/>
  <c r="M413" i="1"/>
  <c r="K401" i="1"/>
  <c r="L401" i="1" s="1"/>
  <c r="M401" i="1"/>
  <c r="K389" i="1"/>
  <c r="L389" i="1" s="1"/>
  <c r="M389" i="1"/>
  <c r="K365" i="1"/>
  <c r="L365" i="1" s="1"/>
  <c r="M365" i="1"/>
  <c r="K329" i="1"/>
  <c r="L329" i="1" s="1"/>
  <c r="M329" i="1"/>
  <c r="K317" i="1"/>
  <c r="L317" i="1" s="1"/>
  <c r="M317" i="1"/>
  <c r="K245" i="1"/>
  <c r="L245" i="1" s="1"/>
  <c r="M245" i="1"/>
  <c r="K209" i="1"/>
  <c r="L209" i="1" s="1"/>
  <c r="M209" i="1"/>
  <c r="K173" i="1"/>
  <c r="L173" i="1" s="1"/>
  <c r="M173" i="1"/>
  <c r="M449" i="1"/>
  <c r="K513" i="1"/>
  <c r="L513" i="1" s="1"/>
  <c r="M467" i="1"/>
  <c r="K467" i="1"/>
  <c r="L467" i="1" s="1"/>
  <c r="K431" i="1"/>
  <c r="L431" i="1" s="1"/>
  <c r="M431" i="1"/>
  <c r="M359" i="1"/>
  <c r="K359" i="1"/>
  <c r="L359" i="1" s="1"/>
  <c r="M347" i="1"/>
  <c r="K347" i="1"/>
  <c r="L347" i="1" s="1"/>
  <c r="M335" i="1"/>
  <c r="K335" i="1"/>
  <c r="L335" i="1" s="1"/>
  <c r="M311" i="1"/>
  <c r="K311" i="1"/>
  <c r="L311" i="1" s="1"/>
  <c r="M299" i="1"/>
  <c r="K299" i="1"/>
  <c r="L299" i="1" s="1"/>
  <c r="M287" i="1"/>
  <c r="K287" i="1"/>
  <c r="L287" i="1" s="1"/>
  <c r="M215" i="1"/>
  <c r="K215" i="1"/>
  <c r="L215" i="1" s="1"/>
  <c r="M191" i="1"/>
  <c r="K191" i="1"/>
  <c r="L191" i="1" s="1"/>
  <c r="K155" i="1"/>
  <c r="L155" i="1" s="1"/>
  <c r="M155" i="1"/>
  <c r="M143" i="1"/>
  <c r="K143" i="1"/>
  <c r="L143" i="1" s="1"/>
  <c r="M131" i="1"/>
  <c r="K131" i="1"/>
  <c r="L131" i="1" s="1"/>
  <c r="M119" i="1"/>
  <c r="K119" i="1"/>
  <c r="L119" i="1" s="1"/>
  <c r="M107" i="1"/>
  <c r="K107" i="1"/>
  <c r="L107" i="1" s="1"/>
  <c r="K46" i="1"/>
  <c r="L46" i="1" s="1"/>
  <c r="K33" i="1"/>
  <c r="L33" i="1" s="1"/>
  <c r="K5" i="1"/>
  <c r="L5" i="1" s="1"/>
  <c r="K129" i="1"/>
  <c r="L129" i="1" s="1"/>
  <c r="M497" i="1"/>
  <c r="M257" i="1"/>
  <c r="K213" i="1"/>
  <c r="L213" i="1" s="1"/>
  <c r="K502" i="1"/>
  <c r="L502" i="1" s="1"/>
  <c r="K441" i="1"/>
  <c r="L441" i="1" s="1"/>
  <c r="K357" i="1"/>
  <c r="L357" i="1" s="1"/>
  <c r="M454" i="1"/>
  <c r="K454" i="1"/>
  <c r="L454" i="1" s="1"/>
  <c r="K154" i="1"/>
  <c r="L154" i="1" s="1"/>
  <c r="M154" i="1"/>
  <c r="M437" i="1"/>
  <c r="K190" i="1"/>
  <c r="L190" i="1" s="1"/>
  <c r="K419" i="1"/>
  <c r="L419" i="1" s="1"/>
  <c r="K310" i="1"/>
  <c r="L310" i="1" s="1"/>
  <c r="K263" i="1"/>
  <c r="L263" i="1" s="1"/>
  <c r="M490" i="1"/>
  <c r="K490" i="1"/>
  <c r="L490" i="1" s="1"/>
  <c r="M418" i="1"/>
  <c r="K418" i="1"/>
  <c r="L418" i="1" s="1"/>
  <c r="M346" i="1"/>
  <c r="K346" i="1"/>
  <c r="L346" i="1" s="1"/>
  <c r="M334" i="1"/>
  <c r="K334" i="1"/>
  <c r="L334" i="1" s="1"/>
  <c r="M298" i="1"/>
  <c r="K298" i="1"/>
  <c r="L298" i="1" s="1"/>
  <c r="M274" i="1"/>
  <c r="K274" i="1"/>
  <c r="L274" i="1" s="1"/>
  <c r="M202" i="1"/>
  <c r="K202" i="1"/>
  <c r="L202" i="1" s="1"/>
  <c r="M178" i="1"/>
  <c r="K178" i="1"/>
  <c r="L178" i="1" s="1"/>
  <c r="K381" i="1"/>
  <c r="L381" i="1" s="1"/>
  <c r="M381" i="1"/>
  <c r="K345" i="1"/>
  <c r="L345" i="1" s="1"/>
  <c r="M345" i="1"/>
  <c r="K273" i="1"/>
  <c r="L273" i="1" s="1"/>
  <c r="M273" i="1"/>
  <c r="K261" i="1"/>
  <c r="L261" i="1" s="1"/>
  <c r="M261" i="1"/>
  <c r="K225" i="1"/>
  <c r="L225" i="1" s="1"/>
  <c r="M225" i="1"/>
  <c r="K201" i="1"/>
  <c r="L201" i="1" s="1"/>
  <c r="M201" i="1"/>
  <c r="K105" i="1"/>
  <c r="L105" i="1" s="1"/>
  <c r="M105" i="1"/>
  <c r="K17" i="1"/>
  <c r="L17" i="1" s="1"/>
  <c r="M11" i="1"/>
  <c r="K251" i="1"/>
  <c r="L251" i="1" s="1"/>
  <c r="K167" i="1"/>
  <c r="L167" i="1" s="1"/>
  <c r="K395" i="1"/>
  <c r="L395" i="1" s="1"/>
  <c r="K286" i="1"/>
  <c r="L286" i="1" s="1"/>
  <c r="K262" i="1"/>
  <c r="L262" i="1" s="1"/>
</calcChain>
</file>

<file path=xl/sharedStrings.xml><?xml version="1.0" encoding="utf-8"?>
<sst xmlns="http://schemas.openxmlformats.org/spreadsheetml/2006/main" count="4421" uniqueCount="482">
  <si>
    <t>Invoice No</t>
  </si>
  <si>
    <t>Customer Name</t>
  </si>
  <si>
    <t>Product Name</t>
  </si>
  <si>
    <t>Product Category</t>
  </si>
  <si>
    <t>HSN Code</t>
  </si>
  <si>
    <t>Quantity</t>
  </si>
  <si>
    <t>Rate</t>
  </si>
  <si>
    <t>CGST</t>
  </si>
  <si>
    <t>SGST</t>
  </si>
  <si>
    <t>Total Amount</t>
  </si>
  <si>
    <t>RAMKRISHNA ELECTRIC (BARASAT)</t>
  </si>
  <si>
    <t>AD 625 3W RD PC Stricker CW</t>
  </si>
  <si>
    <t>STICHWEL SEWING MACHINE REPARING CENTER</t>
  </si>
  <si>
    <t>AD 120 22W T5 Tube Light CW</t>
  </si>
  <si>
    <t>AD 902 15W Led Bulb CW</t>
  </si>
  <si>
    <t>AD 902 20W Led Bulb CW</t>
  </si>
  <si>
    <t>AD 903 10W EMERGENCY Led Bulb CW</t>
  </si>
  <si>
    <t>MONU ELECTRICS</t>
  </si>
  <si>
    <t>AD 902 55W Led Bulb CW</t>
  </si>
  <si>
    <t>AD-904-10W -T/BULB</t>
  </si>
  <si>
    <t>DEBNATH ELECTRICS ( NB)</t>
  </si>
  <si>
    <t>AD-904-12W -T/BULB</t>
  </si>
  <si>
    <t>DEY ELECTRICALS</t>
  </si>
  <si>
    <t>AD 311 20W Street Light (Thunder) CW</t>
  </si>
  <si>
    <t>AD 902 45W Led Bulb CW</t>
  </si>
  <si>
    <t>MAA DURGA ELECTRIC</t>
  </si>
  <si>
    <t>AD 902 12W Led Bulb CW</t>
  </si>
  <si>
    <t>AD 118 15W RD Rimless Surface Panel CW</t>
  </si>
  <si>
    <t>SHILA ELECTRICS</t>
  </si>
  <si>
    <t>SARKAR ELECTRICS</t>
  </si>
  <si>
    <t>AD 901 50W Led Bulb CW</t>
  </si>
  <si>
    <t>ALI ELECTRIC &amp; ELECTRONICS</t>
  </si>
  <si>
    <t>AD-221-50W DOB Lens Flood Light CW</t>
  </si>
  <si>
    <t>FD-424GLD (Mighty Gold)</t>
  </si>
  <si>
    <t>AD 819 16W Wall Light CW (W)</t>
  </si>
  <si>
    <t>AD 902 9W Led Bulb CW</t>
  </si>
  <si>
    <t>AD 902 65W Led Bulb CW</t>
  </si>
  <si>
    <t>MAA ENTERPRISE</t>
  </si>
  <si>
    <t>SREE GURU ELECTRIC(8697543747)</t>
  </si>
  <si>
    <t>MAA TARA ELECTRICS(LISTER)</t>
  </si>
  <si>
    <t>FD-416BRN (Avenger Brown)</t>
  </si>
  <si>
    <t>MAYA ELECTRICS</t>
  </si>
  <si>
    <t>PAUL ELECTRIC(LISTURE)</t>
  </si>
  <si>
    <t>AD 902 9W Led Bulb WW</t>
  </si>
  <si>
    <t>AD 902 36W Led Bulb CW</t>
  </si>
  <si>
    <t>BISWADIP ELECTRIC (UNCLE)</t>
  </si>
  <si>
    <t>AD 101 12W RD Slim Panel (Cuba) CW</t>
  </si>
  <si>
    <t>AD 911- Mosquito Racquet (400MA 4V)</t>
  </si>
  <si>
    <t>AD 209 200W Highbay Light (UFO) CW</t>
  </si>
  <si>
    <t>LAKSHMI ELECTRICALS &amp; ELECTRONICS</t>
  </si>
  <si>
    <t>FD-416IVY (Avenger Ivory)</t>
  </si>
  <si>
    <t>DINESH ELECTRICS (DADA)</t>
  </si>
  <si>
    <t>AD 810 2W 2 Way Fancy Led Light WW</t>
  </si>
  <si>
    <t>AD 810 4W 4 Way Fancy Led Light WW</t>
  </si>
  <si>
    <t>AD 701 10W Bulk Head CW</t>
  </si>
  <si>
    <t>AD-221-100W DOB Lens Flood Light CW</t>
  </si>
  <si>
    <t>AD 112 6+3W RD Double Colour Panel CW+MULTICOLOR</t>
  </si>
  <si>
    <t>AD-602-6W RD Glory Light CW</t>
  </si>
  <si>
    <t>AD-602-12W RD Glory Light CW</t>
  </si>
  <si>
    <t>AD 121 36W T8 Tube Light</t>
  </si>
  <si>
    <t>AD-221-30W DOB Lens Flood Light CW</t>
  </si>
  <si>
    <t>AD 819 3W Wall Light CW (W)</t>
  </si>
  <si>
    <t>AD 819 6W Wall Light CW (W)</t>
  </si>
  <si>
    <t>AD 112 3+3W RD Double Colour Panel CW+MULTICOLOR</t>
  </si>
  <si>
    <t>AD 701 20W Bulk Head CW</t>
  </si>
  <si>
    <t>S.R ELECTRICS</t>
  </si>
  <si>
    <t>AD 902 65W Led Bulb WW</t>
  </si>
  <si>
    <t>AD 902 55W Led Bulb WW</t>
  </si>
  <si>
    <t>AD 311 24W Street Light (Thunder) CW</t>
  </si>
  <si>
    <t>AD 801 12W RD Deep Cob Light CW</t>
  </si>
  <si>
    <t>AD-606-3W RD Junction Box Light CW</t>
  </si>
  <si>
    <t>AD-606-3W RD Junction Box Light WW</t>
  </si>
  <si>
    <t>AD 901 30W Led Bulb CW</t>
  </si>
  <si>
    <t>AD 204 50W Flood Light (Apple) CW</t>
  </si>
  <si>
    <t>AD 116-12W RD Panel Light CW</t>
  </si>
  <si>
    <t>AD 401 3W RD COB Button (Magic) Blue</t>
  </si>
  <si>
    <t>AD 401 3W RD COB Button (Magic) Pink</t>
  </si>
  <si>
    <t>MAA TARA ELECTRIC(NORDUSK)</t>
  </si>
  <si>
    <t>SRI GANESH ELECTRONICS</t>
  </si>
  <si>
    <t>LOKNATH ELECTRONICS(SHY)</t>
  </si>
  <si>
    <t>SHAW ELECTRIC</t>
  </si>
  <si>
    <t>FD-424GRY (Mighty Grey)</t>
  </si>
  <si>
    <t>FD-417BRN (Storm Glossy Brown)</t>
  </si>
  <si>
    <t>PAUL ELECTRIC(NH)</t>
  </si>
  <si>
    <t>SAKSHI ELECTRICS</t>
  </si>
  <si>
    <t>AD 902 9W Led Bulb CW
Arindam Dada</t>
  </si>
  <si>
    <t>SOMA ELECTRIC</t>
  </si>
  <si>
    <t>FD-424WHT (Mighty White)</t>
  </si>
  <si>
    <t>NAIHATI ELECTRIC</t>
  </si>
  <si>
    <t>FD-420WHT (Typhoon White)</t>
  </si>
  <si>
    <t>FD-420GLD (Typhoon Gold)</t>
  </si>
  <si>
    <t>FD-428GLD (Flora Gold)</t>
  </si>
  <si>
    <t>FD-428GRY (Flora Grey)</t>
  </si>
  <si>
    <t>UJWAL ELECTRICS &amp; HOME APPLIANCES</t>
  </si>
  <si>
    <t>FD-432GLD (Cilento ABS Gold)</t>
  </si>
  <si>
    <t>FD-428BLU (Flora Blue)</t>
  </si>
  <si>
    <t>FD-424BLK (Mighty Black)</t>
  </si>
  <si>
    <t>MANOKU &amp; JOYTI ELECTRONICS</t>
  </si>
  <si>
    <t>FD-420IVY (Typhoon Ivory)</t>
  </si>
  <si>
    <t>FD-428WHT (Flora White)</t>
  </si>
  <si>
    <t>SAMBHU ELECTRICS</t>
  </si>
  <si>
    <t>KUMAR ELECTRIC (BKP)</t>
  </si>
  <si>
    <t>MAA MANSHA</t>
  </si>
  <si>
    <t>DAS ELECTRIC (KANKINARA)</t>
  </si>
  <si>
    <t>FD-416WHT (Avenger White)</t>
  </si>
  <si>
    <t>DEBNATH ELECTRIC ( ICHAPORE)</t>
  </si>
  <si>
    <t>MOHANTO ELECTRICS</t>
  </si>
  <si>
    <t>FD-425RWD (MWR Rose Wood)</t>
  </si>
  <si>
    <t>NEHA ELECTRIC LTD</t>
  </si>
  <si>
    <t>BIPLAB ENTERPRISE</t>
  </si>
  <si>
    <t>NEW OM ELECTRICALS</t>
  </si>
  <si>
    <t>FD-432GRY (Cilento ABS Grey)</t>
  </si>
  <si>
    <t>M/S. MALLIK ELECTRIC</t>
  </si>
  <si>
    <t>M/S THE TAPAN ELECTRIC(NH)</t>
  </si>
  <si>
    <t>LOKENATH ENTERPRISE</t>
  </si>
  <si>
    <t>KLIVIYA ENTERPRISE</t>
  </si>
  <si>
    <t>AD 101 8W RD Slim Panel (Cuba) CW</t>
  </si>
  <si>
    <t>AD-116-6W RD Panel Light CW</t>
  </si>
  <si>
    <t>AD 301 24W Street Light (Thunder) CW</t>
  </si>
  <si>
    <t>AD 301 36W Street Light (Thunder) CW</t>
  </si>
  <si>
    <t>40W BATTEN PVC 6500K</t>
  </si>
  <si>
    <t>AD 625 3W RD PC Stricker WW</t>
  </si>
  <si>
    <t>AD-116-12W RD Panel Light 3 IN 1 (CWN)</t>
  </si>
  <si>
    <t>AD-116-12W RD Panel Light 3 IN 1 (PGC)</t>
  </si>
  <si>
    <t>AD 106 15W RD PC Downlight (Blaster) CW</t>
  </si>
  <si>
    <t>AD-116-6W RD Panel Light WW</t>
  </si>
  <si>
    <t>AD-116-18W RD Panel Light CW</t>
  </si>
  <si>
    <t>AD-116-12W RD Panel Light WW</t>
  </si>
  <si>
    <t>AD-602-12W RD Glory Light WW</t>
  </si>
  <si>
    <t>THIKTHAK</t>
  </si>
  <si>
    <t>AD 818 20W COB Track Light WW (B)</t>
  </si>
  <si>
    <t>AD 818 30W COB Track Light WW (B)</t>
  </si>
  <si>
    <t>Billing Date</t>
  </si>
  <si>
    <t>NORDUSK</t>
  </si>
  <si>
    <t>Product Brand</t>
  </si>
  <si>
    <t>B. R. TELESERVICES &amp; B.R. WEIGH BRIDGE</t>
  </si>
  <si>
    <t>AD 311 36W Street Light (Thunder) CW</t>
  </si>
  <si>
    <t>P.G.ELECTRRIC AND ELECTRONICS</t>
  </si>
  <si>
    <t>AD-221-200W DOB Lens Flood Light CW</t>
  </si>
  <si>
    <t>AD 311 50W Street Light (Thunder) CW</t>
  </si>
  <si>
    <t>AD 902 24W Led Bulb CW</t>
  </si>
  <si>
    <t>FD-417BRN (Storm Glossy Brown),Lister</t>
  </si>
  <si>
    <t>FD-426IVY(Mighty Pro Ivory)</t>
  </si>
  <si>
    <t>FD-426GLD(Mighty Pro Gold)</t>
  </si>
  <si>
    <t>AD-602-6W RD Glory Light WW</t>
  </si>
  <si>
    <t>AD 902 18W Led Bulb CW</t>
  </si>
  <si>
    <t>DREAM ELECTRIC</t>
  </si>
  <si>
    <t>AD 118 8W RD Rimless Surface Panel CW</t>
  </si>
  <si>
    <t>BIPLAB KUMAR SHAW</t>
  </si>
  <si>
    <t>BANERJEE ELECTRICS CO</t>
  </si>
  <si>
    <t>AD-221-10W DOB Lens Flood Light CW</t>
  </si>
  <si>
    <t>THIRTYNINE ENTERPRISE(MAHAMAYA ELECTRIC)</t>
  </si>
  <si>
    <t>AD-221-100W DOB Lens Flood Light WW</t>
  </si>
  <si>
    <t>TINA ELECTRONICS</t>
  </si>
  <si>
    <t>NEW LAKSHMI ELECTRICAL &amp; ELECTRONICS</t>
  </si>
  <si>
    <t>FD-417IVY (Storm Ivory)</t>
  </si>
  <si>
    <t>AD 818 10W COB Track Light CW (B)</t>
  </si>
  <si>
    <t>AD 118 22W RD Rimless Surface Panel CW</t>
  </si>
  <si>
    <t>AD 108 15W RD Slim Panel (Cosmic) CW</t>
  </si>
  <si>
    <t>AD 902 0.5W Led Bulb Red</t>
  </si>
  <si>
    <t>AD 902 0.5W Led Bulb Blue</t>
  </si>
  <si>
    <t>AD 902 0.5W Led Bulb Pink</t>
  </si>
  <si>
    <t>AD 902 0.5W Led Bulb Green</t>
  </si>
  <si>
    <t>AD 902 0.5W Led Bulb Yellow</t>
  </si>
  <si>
    <t>AD 903 20W EMERGENCY Led Bulb CW</t>
  </si>
  <si>
    <t>AD 108 8W RD Slim Panel (Cosmic) CW</t>
  </si>
  <si>
    <t>AD 102 22W RD Surface Panel (Boost) CW</t>
  </si>
  <si>
    <t>XX</t>
  </si>
  <si>
    <t>JG/ICH/26-27/02</t>
  </si>
  <si>
    <t>50W BULB 6500K</t>
  </si>
  <si>
    <t>20W BATTEN 6500K</t>
  </si>
  <si>
    <t>40W BATTEN PVC</t>
  </si>
  <si>
    <t>100W FLOODLIGHT</t>
  </si>
  <si>
    <t>0.5W NIGHTLAMP MIX</t>
  </si>
  <si>
    <t>JG/ICH/26-27/04</t>
  </si>
  <si>
    <t>CEILING FAN 48" BROWN</t>
  </si>
  <si>
    <t>1600 BAJAJ INDUCTION</t>
  </si>
  <si>
    <t>BAJAJ</t>
  </si>
  <si>
    <t>22W BATTEN 6500K</t>
  </si>
  <si>
    <t>40W BULB 6500K</t>
  </si>
  <si>
    <t>200W ECOLITE FLOODLIGHT LR</t>
  </si>
  <si>
    <t>JG/ICH/26-27/14</t>
  </si>
  <si>
    <t>GUHA ELECTRIC</t>
  </si>
  <si>
    <t>6W SLIM PANEL 6500K</t>
  </si>
  <si>
    <t>JG/ICH/26-27/16</t>
  </si>
  <si>
    <t>JG/ICH/26-27/18</t>
  </si>
  <si>
    <t>20W BULB 650OK</t>
  </si>
  <si>
    <t>CEILING FAN 36" BROWN</t>
  </si>
  <si>
    <t>JG/ICH/26-27/19</t>
  </si>
  <si>
    <t>JG/ICH/26-27/20</t>
  </si>
  <si>
    <t>OM ELECTRICAL</t>
  </si>
  <si>
    <t>10W EMERGENCY BULB</t>
  </si>
  <si>
    <t>JG/ICH/26-27/22</t>
  </si>
  <si>
    <t>15W BULB 6500K</t>
  </si>
  <si>
    <t>JG/ICH/26-27/23</t>
  </si>
  <si>
    <t>SHARMA ELECTRICS</t>
  </si>
  <si>
    <t>JG/ICH/26-27/24</t>
  </si>
  <si>
    <t>PAUL ELECTRIC(NORRDUSK)</t>
  </si>
  <si>
    <t>JG/ICH/26-27/25</t>
  </si>
  <si>
    <t>40W BATTEN PVC 6500K, NORDUSK</t>
  </si>
  <si>
    <t>0.5W NIGHTLAMP RED, NORDUSK</t>
  </si>
  <si>
    <t>0.5W NIGHTLAMP CW, NORDUSK</t>
  </si>
  <si>
    <t>10W BATTEN 3000K 2FT, NORDUSK</t>
  </si>
  <si>
    <t>10W BATTEN 6500K 2FT, NORDUSK</t>
  </si>
  <si>
    <t>FD-424GLD (Mighty Gold),Lister</t>
  </si>
  <si>
    <t>FD-420GLD (Typhoon Gold),Lister</t>
  </si>
  <si>
    <t>FD-428BLU (Flora Blue),Lister</t>
  </si>
  <si>
    <t>CEILING FAN 48" BROWN,RASHMI</t>
  </si>
  <si>
    <t>RASHMI</t>
  </si>
  <si>
    <t>30W FLOOD LIGHT K 6500K, NORDUSK</t>
  </si>
  <si>
    <t>JG/ICH/26-27/26</t>
  </si>
  <si>
    <t>M/S THE RAINBOW ELECTRONICS</t>
  </si>
  <si>
    <t>JG/ICH/26-27/27</t>
  </si>
  <si>
    <t>9W BULB 6500K</t>
  </si>
  <si>
    <t>10W EMERGENCY BULB
Vikki Bartan</t>
  </si>
  <si>
    <t>9W BULB 6500K
badi</t>
  </si>
  <si>
    <t>JG/ICH/26-27/39</t>
  </si>
  <si>
    <t>JG/ICH/26-27/42</t>
  </si>
  <si>
    <t>20W BATTEN 6500K PVC 2FT</t>
  </si>
  <si>
    <t>20W BATTEN 6500K AL 2FT</t>
  </si>
  <si>
    <t>50W K FLOODLIGHT GG 6500K</t>
  </si>
  <si>
    <t>50W ECOLIGHT FLOODLIGHT LR 3000K</t>
  </si>
  <si>
    <t>50W FLOODLIGHT 6500K (GALAXY PLUS)</t>
  </si>
  <si>
    <t>JG/ICH/26-27/43</t>
  </si>
  <si>
    <t>JG/ICH/26-27/44</t>
  </si>
  <si>
    <t>NUPUR ELECTRICS</t>
  </si>
  <si>
    <t>JG/ICH/26-27/45</t>
  </si>
  <si>
    <t>JG/ICH/26-27/46</t>
  </si>
  <si>
    <t>10W BULB 6500K</t>
  </si>
  <si>
    <t>JG/ICH/26-27/47</t>
  </si>
  <si>
    <t>SUHANI ELECTRICALS</t>
  </si>
  <si>
    <t>12W BULB 6500K</t>
  </si>
  <si>
    <t>JG/ICH/26-27/48</t>
  </si>
  <si>
    <t>M/S GANAPATI CONSULTANTS</t>
  </si>
  <si>
    <t>100W ECOLIGHT FLOODLIGHT 6500K LENS</t>
  </si>
  <si>
    <t>JG/ICH/26-27/49</t>
  </si>
  <si>
    <t>DAS ELECTRICS (ICH)</t>
  </si>
  <si>
    <t>24W BATTEN 6500K</t>
  </si>
  <si>
    <t>24W BATTEN 6500K REPLACEMENT</t>
  </si>
  <si>
    <t>JG/ICH/26-27/50</t>
  </si>
  <si>
    <t>JG/ICH/26-27/51</t>
  </si>
  <si>
    <t>JG/ICH/26-27/52</t>
  </si>
  <si>
    <t>JG/ICH/26-27/62</t>
  </si>
  <si>
    <t>AKASH ELECTRIC (ICHAPUR)</t>
  </si>
  <si>
    <t>22W BATTEN 6500K, NORDUSK</t>
  </si>
  <si>
    <t>JG/ICH/26-27/63</t>
  </si>
  <si>
    <t>10W BATTEN 6500K 2FT</t>
  </si>
  <si>
    <t>10W Bulkhead SL</t>
  </si>
  <si>
    <t>JG/ICH/26-27/64</t>
  </si>
  <si>
    <t>JG/ICH/26-27/65</t>
  </si>
  <si>
    <t>JG/ICH/26-27/68</t>
  </si>
  <si>
    <t>JG/ICH/26-27/69</t>
  </si>
  <si>
    <t>7W BULB 6500K</t>
  </si>
  <si>
    <t>JG/ICH/26-27/76</t>
  </si>
  <si>
    <t>JG/ICH/26-27/77</t>
  </si>
  <si>
    <t>FD-420BLK (Typhoon Black)</t>
  </si>
  <si>
    <t>JG/ICH/26-27/83</t>
  </si>
  <si>
    <t>40W BULB 3000K</t>
  </si>
  <si>
    <t>30W BULB 6500K</t>
  </si>
  <si>
    <t>FD-417SMBRN (Storm Smoke Brown)</t>
  </si>
  <si>
    <t>JG/ICH/26-27/89</t>
  </si>
  <si>
    <t>JG/ICH/26-27/92</t>
  </si>
  <si>
    <t>0.5W NIGHTLAMP BLUE</t>
  </si>
  <si>
    <t>0.5W NIGHTLAMP PINK</t>
  </si>
  <si>
    <t>0.5W NIGHTLAMP RED</t>
  </si>
  <si>
    <t>DOWNLIGHT BACKLIT INT D4 SQUARE 12W 6500K</t>
  </si>
  <si>
    <t>20W BATTEN 6500K AL 2FT
Replacement</t>
  </si>
  <si>
    <t>20W BATTEN 6500K
Replacement</t>
  </si>
  <si>
    <t>60W Bulb 6500k</t>
  </si>
  <si>
    <t>JG/ICH/26-27/94</t>
  </si>
  <si>
    <t>10W EMERGENCY BULB replacement</t>
  </si>
  <si>
    <t>FD-424SVR (Mighty Silver)</t>
  </si>
  <si>
    <t>JG/NB/26-27/01</t>
  </si>
  <si>
    <t>JG/NB/26-27/03</t>
  </si>
  <si>
    <t>JG/NB/26-27/05</t>
  </si>
  <si>
    <t>JG/NB/26-27/06</t>
  </si>
  <si>
    <t>MAA TARA ELECTRIC</t>
  </si>
  <si>
    <t>JG/NB/26-27/07</t>
  </si>
  <si>
    <t>3+3W SLIM PANEL</t>
  </si>
  <si>
    <t>JG/NB/26-27/08</t>
  </si>
  <si>
    <t>AD-223-100W DOB Lens Flood Light CW</t>
  </si>
  <si>
    <t>JG/NB/26-27/09</t>
  </si>
  <si>
    <t>JG/NB/26-27/100</t>
  </si>
  <si>
    <t>JG/NB/26-27/101</t>
  </si>
  <si>
    <t>JG/NB/26-27/102</t>
  </si>
  <si>
    <t>50W ECOLIGHT FLOODLIGHT LR 6500K, NORDUSK</t>
  </si>
  <si>
    <t>6+3W SLIM PANEL, NORDUSK</t>
  </si>
  <si>
    <t>6+6W SLIM PANEL , NORDUSK</t>
  </si>
  <si>
    <t>3+3W SLIM PANEL , NORDUSK</t>
  </si>
  <si>
    <t>9W BULB 6500K, NORDUSK</t>
  </si>
  <si>
    <t>20W BATTEN 6500K PVC 2FT, NORDUSK</t>
  </si>
  <si>
    <t>9W BULB 3000K , NORDUSK</t>
  </si>
  <si>
    <t>JG/NB/26-27/103</t>
  </si>
  <si>
    <t>JG/NB/26-27/104</t>
  </si>
  <si>
    <t>3W STYLIGHT CW</t>
  </si>
  <si>
    <t>3W STYLIGHT WW</t>
  </si>
  <si>
    <t>3W STYLIGHT RED</t>
  </si>
  <si>
    <t>3W STYLIGHT BLUE</t>
  </si>
  <si>
    <t>3W STYLIGHT PINK</t>
  </si>
  <si>
    <t>3W STYLIGHT GREEN</t>
  </si>
  <si>
    <t>JG/NB/26-27/105</t>
  </si>
  <si>
    <t>JG/NB/26-27/106</t>
  </si>
  <si>
    <t>JG/NB/26-27/107</t>
  </si>
  <si>
    <t>FD-417IVY (Storm Ivory),Lister</t>
  </si>
  <si>
    <t>CEILING FAN 36" BROWN, RASHMI</t>
  </si>
  <si>
    <t>20W BATTEN 6500K, NORDUSK</t>
  </si>
  <si>
    <t>JG/NB/26-27/108</t>
  </si>
  <si>
    <t>SUNNY ELECTRIC</t>
  </si>
  <si>
    <t>JG/NB/26-27/109</t>
  </si>
  <si>
    <t>AD 108 15W RD Slim Panel (Cosmic) WW</t>
  </si>
  <si>
    <t>JG/NB/26-27/10</t>
  </si>
  <si>
    <t>JG/NB/26-27/110</t>
  </si>
  <si>
    <t>JG/NB/26-27/111</t>
  </si>
  <si>
    <t>JG/NB/26-27/112</t>
  </si>
  <si>
    <t>12W BULB 6500K, NORDUSK</t>
  </si>
  <si>
    <t>15W BULB 6500K, NORDUSK</t>
  </si>
  <si>
    <t>3W DOWNLIGHT 3000K, NORDUSK</t>
  </si>
  <si>
    <t>3W DOWNLIGHT 6500K, NORDUSK</t>
  </si>
  <si>
    <t>50W BULB 6500K , NORDUSK</t>
  </si>
  <si>
    <t>JG/NB/26-27/113</t>
  </si>
  <si>
    <t>ANKUR MOBITEC</t>
  </si>
  <si>
    <t>40W BATTEN AL 6500K, NORDUSK</t>
  </si>
  <si>
    <t>AD 606-3W RD Junction Box Light (3IN1) PGC</t>
  </si>
  <si>
    <t>JG/NB/26-27/114</t>
  </si>
  <si>
    <t>JG/NB/26-27/115</t>
  </si>
  <si>
    <t>JG/NB/26-27/116</t>
  </si>
  <si>
    <t>JG/NB/26-27/117</t>
  </si>
  <si>
    <t>JG/NB/26-27/118</t>
  </si>
  <si>
    <t>AD 614 7W RD COB Concealed WW</t>
  </si>
  <si>
    <t>JG/NB/26-27/119</t>
  </si>
  <si>
    <t>JG/NB/26-27/11</t>
  </si>
  <si>
    <t>JG/NB/26-27/120</t>
  </si>
  <si>
    <t>JG/NB/26-27/121</t>
  </si>
  <si>
    <t>2W DECO CW, NORDUSK</t>
  </si>
  <si>
    <t>2W DECO WW, NORDUSK</t>
  </si>
  <si>
    <t>JG/NB/26-27/122</t>
  </si>
  <si>
    <t>FD-417SMBRN (Storm Smoke Brown),Lister</t>
  </si>
  <si>
    <t>JG/NB/26-27/123</t>
  </si>
  <si>
    <t>SHAW &amp; SONS</t>
  </si>
  <si>
    <t>30W BULB 6500K, NORDUSK</t>
  </si>
  <si>
    <t>AD 108 3W RD Slim Panel (Cosmic) CW</t>
  </si>
  <si>
    <t>JG/NB/26-27/124</t>
  </si>
  <si>
    <t>6W D7 Conceal Light Blue,Nordusk</t>
  </si>
  <si>
    <t>Nordusk</t>
  </si>
  <si>
    <t>6W D7 Conceal Light Green,Nordusk</t>
  </si>
  <si>
    <t>6W D7 Conceal Light Pink,Nordusk</t>
  </si>
  <si>
    <t>6W D7 Conceal Light 3000K,Nordusk</t>
  </si>
  <si>
    <t>JG/NB/26-27/125</t>
  </si>
  <si>
    <t>9W BULB 3000K, replenishment</t>
  </si>
  <si>
    <t>JG/NB/26-27/126</t>
  </si>
  <si>
    <t>JG/NB/26-27/127</t>
  </si>
  <si>
    <t>20W BATTEN TRICOLOUR , NORDUSK</t>
  </si>
  <si>
    <t>200W ECOLITE FLOODLIGHT LR 6500K, NORDUSK</t>
  </si>
  <si>
    <t>40W BULB 3000K, NORDUSK</t>
  </si>
  <si>
    <t>JG/NB/26-27/128</t>
  </si>
  <si>
    <t>M/S. MALLIK ELECTRIC (NB)</t>
  </si>
  <si>
    <t>JG/NB/26-27/129</t>
  </si>
  <si>
    <t>20W BULB 650OK, NORDUSK</t>
  </si>
  <si>
    <t>40W BULB 6500K, NORDUSK</t>
  </si>
  <si>
    <t>JG/NB/26-27/12</t>
  </si>
  <si>
    <t>JG/NB/26-27/130</t>
  </si>
  <si>
    <t>20W BULB 650OK, NORDUSK replacement</t>
  </si>
  <si>
    <t>JG/NB/26-27/131</t>
  </si>
  <si>
    <t>JG/NB/26-27/132</t>
  </si>
  <si>
    <t>15W BULB 6500K, NORDUSK
Benu da</t>
  </si>
  <si>
    <t>JG/NB/26-27/133</t>
  </si>
  <si>
    <t>JG/NB/26-27/134</t>
  </si>
  <si>
    <t>JG/NB/26-27/135</t>
  </si>
  <si>
    <t>AD 614 7W RD COB Concealed CW</t>
  </si>
  <si>
    <t>JG/NB/26-27/137</t>
  </si>
  <si>
    <t>3W STYLIGHT WW, NORDUSK</t>
  </si>
  <si>
    <t>24W BATTEN 6500K, NORDUSK</t>
  </si>
  <si>
    <t>2W DECO RED, NORDUSK</t>
  </si>
  <si>
    <t>2W DECO PINK, NORDUSK</t>
  </si>
  <si>
    <t>2W DECO GREEN, NORDUSK</t>
  </si>
  <si>
    <t>2W DECO BLUE, NORDUSK</t>
  </si>
  <si>
    <t>8W Light Bank Neo Roundy Solar GG 6500k</t>
  </si>
  <si>
    <t>JG/NB/26-27/138</t>
  </si>
  <si>
    <t>JG/NB/26-27/139</t>
  </si>
  <si>
    <t>JG/NB/26-27/13</t>
  </si>
  <si>
    <t>JG/NB/26-27/140</t>
  </si>
  <si>
    <t>JG/NB/26-27/141</t>
  </si>
  <si>
    <t>AD 902 45W Led Bulb WW</t>
  </si>
  <si>
    <t>JG/NB/26-27/142</t>
  </si>
  <si>
    <t>AD 606-3W RD Junction Box Light (3IN1) PBV</t>
  </si>
  <si>
    <t>JG/NB/26-27/143</t>
  </si>
  <si>
    <t>JG/NB/26-27/144</t>
  </si>
  <si>
    <t>AD-617-8W Deep Junction Light Rainbow</t>
  </si>
  <si>
    <t>JG/NB/26-27/145</t>
  </si>
  <si>
    <t>JG/NB/26-27/146</t>
  </si>
  <si>
    <t>8W Light Bank Neo Roundy Solar GG 6500k,NORDUSK</t>
  </si>
  <si>
    <t>0.75 SQM KHAITAN CG RED</t>
  </si>
  <si>
    <t>KHAITAN</t>
  </si>
  <si>
    <t>0.75 SQM KHAITAN CG BLACK</t>
  </si>
  <si>
    <t>1.0 SQM KHAITAN CG BLUE</t>
  </si>
  <si>
    <t>1.0 SQM KHAITAN CG WHITE</t>
  </si>
  <si>
    <t>1.5 SQM KHAITAN CG BLUE</t>
  </si>
  <si>
    <t>1.0 SQM KHAITAN CG RED</t>
  </si>
  <si>
    <t>JG/NB/26-27/147</t>
  </si>
  <si>
    <t>JG/NB/26-27/15</t>
  </si>
  <si>
    <t>JG/NB/26-27/17</t>
  </si>
  <si>
    <t>JG/NB/26-27/21</t>
  </si>
  <si>
    <t>JG/NB/26-27/28</t>
  </si>
  <si>
    <t>JG/NB/26-27/29</t>
  </si>
  <si>
    <t>JG/NB/26-27/30</t>
  </si>
  <si>
    <t>JG/NB/26-27/31</t>
  </si>
  <si>
    <t>JG/NB/26-27/32</t>
  </si>
  <si>
    <t>JG/NB/26-27/33</t>
  </si>
  <si>
    <t>JG/NB/26-27/34</t>
  </si>
  <si>
    <t>JG/NB/26-27/35</t>
  </si>
  <si>
    <t>JG/NB/26-27/36</t>
  </si>
  <si>
    <t>JG/NB/26-27/37</t>
  </si>
  <si>
    <t>JG/NB/26-27/38</t>
  </si>
  <si>
    <t>JG/NB/26-27/40</t>
  </si>
  <si>
    <t>JG/NB/26-27/41</t>
  </si>
  <si>
    <t>JG/NB/26-27/53</t>
  </si>
  <si>
    <t>JG/NB/26-27/54</t>
  </si>
  <si>
    <t>6+6W SLIM PANEL</t>
  </si>
  <si>
    <t>JG/NB/26-27/55</t>
  </si>
  <si>
    <t>JG/NB/26-27/56</t>
  </si>
  <si>
    <t>JG/NB/26-27/57</t>
  </si>
  <si>
    <t>JG/NB/26-27/58</t>
  </si>
  <si>
    <t>JG/NB/26-27/59</t>
  </si>
  <si>
    <t>JG/NB/26-27/60</t>
  </si>
  <si>
    <t>JG/NB/26-27/61</t>
  </si>
  <si>
    <t>JG/NB/26-27/66</t>
  </si>
  <si>
    <t>JG/NB/26-27/67</t>
  </si>
  <si>
    <t>JG/NB/26-27/70</t>
  </si>
  <si>
    <t>JG/NB/26-27/71</t>
  </si>
  <si>
    <t>JG/NB/26-27/72</t>
  </si>
  <si>
    <t>JG/NB/26-27/73</t>
  </si>
  <si>
    <t>JG/NB/26-27/74</t>
  </si>
  <si>
    <t>JG/NB/26-27/75</t>
  </si>
  <si>
    <t>JG/NB/26-27/78</t>
  </si>
  <si>
    <t>JG/NB/26-27/79</t>
  </si>
  <si>
    <t>JG/NB/26-27/80</t>
  </si>
  <si>
    <t>JG/NB/26-27/81</t>
  </si>
  <si>
    <t>JG/NB/26-27/82</t>
  </si>
  <si>
    <t>JG/NB/26-27/84</t>
  </si>
  <si>
    <t>JG/NB/26-27/85</t>
  </si>
  <si>
    <t>JG/NB/26-27/86</t>
  </si>
  <si>
    <t>JG/NB/26-27/87</t>
  </si>
  <si>
    <t>JG/NB/26-27/88</t>
  </si>
  <si>
    <t>JG/NB/26-27/90</t>
  </si>
  <si>
    <t>9W SLIM PANEL 6500K</t>
  </si>
  <si>
    <t>JG/NB/26-27/91</t>
  </si>
  <si>
    <t>JG/NB/26-27/93</t>
  </si>
  <si>
    <t>JG/NB/26-27/95</t>
  </si>
  <si>
    <t>JG/NB/26-27/96</t>
  </si>
  <si>
    <t>JG/NB/26-27/97</t>
  </si>
  <si>
    <t>JG/NB/26-27/98</t>
  </si>
  <si>
    <t>JG/NB/26-27/99</t>
  </si>
  <si>
    <t>LISTER</t>
  </si>
  <si>
    <t>FAN</t>
  </si>
  <si>
    <t>LIGHT</t>
  </si>
  <si>
    <t>QT *R</t>
  </si>
  <si>
    <t>HAWKINS</t>
  </si>
  <si>
    <t>UTENSILS</t>
  </si>
  <si>
    <t>WIRE</t>
  </si>
  <si>
    <t>Qt*R</t>
  </si>
  <si>
    <t>AD 819 16W Wall Light CW (W) Replacement</t>
  </si>
  <si>
    <t xml:space="preserve">AD 911- Mosquito Racquet (400MA 4V) </t>
  </si>
  <si>
    <t xml:space="preserve">20L Cooker </t>
  </si>
  <si>
    <t>LED TS 24W CDL FITTING GECLITE (RASHMI)</t>
  </si>
  <si>
    <t>22W BATTEN 6500K, replacement</t>
  </si>
  <si>
    <t>15W BULB 6500K,  replacement</t>
  </si>
  <si>
    <t>30W BULB 6500K, replacement</t>
  </si>
  <si>
    <t xml:space="preserve">AD 701 20W Bulk Head CW
</t>
  </si>
  <si>
    <t xml:space="preserve">FD-417BRN (Storm Glossy Brown),Lister
</t>
  </si>
  <si>
    <t xml:space="preserve">FD-417SMBRN (Storm Smoke Brown),Lister
</t>
  </si>
  <si>
    <t xml:space="preserve">AD 903 10W EMERGENCY Led Bulb CW </t>
  </si>
  <si>
    <t>6W DOWNLIGHT D6 WW</t>
  </si>
  <si>
    <t xml:space="preserve">6W SURFACE 6500K
</t>
  </si>
  <si>
    <t xml:space="preserve">3W STYLIGHT PINK
</t>
  </si>
  <si>
    <t xml:space="preserve">3W STYLIGHT BLUE
</t>
  </si>
  <si>
    <t xml:space="preserve">3W STYLIGHT RED
</t>
  </si>
  <si>
    <t xml:space="preserve">3W STYLIGHT WW
</t>
  </si>
  <si>
    <t xml:space="preserve">3W STYLIGHT CW
</t>
  </si>
  <si>
    <t xml:space="preserve">22W BATTEN 6500K
</t>
  </si>
  <si>
    <t xml:space="preserve">24W BATTEN 6500K
</t>
  </si>
  <si>
    <t xml:space="preserve">CEILING FAN 48" BROWN
</t>
  </si>
  <si>
    <t>ELECTRICAL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</si>
</sst>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8336-D88E-4F62-8404-ECACE52CB5B5}">
  <dimension ref="A1:M471"/>
  <sheetViews>
    <sheetView tabSelected="1" topLeftCell="A256" zoomScaleNormal="100" workbookViewId="0">
      <selection activeCell="A301" sqref="A1:XFD1048576"/>
    </sheetView>
  </sheetViews>
  <sheetFormatPr defaultRowHeight="15" x14ac:dyDescent="0.25"/>
  <cols>
    <col min="1" max="1" width="16" bestFit="1" customWidth="1"/>
    <col min="2" max="2" width="11.140625" bestFit="1" customWidth="1"/>
    <col min="3" max="3" width="44" bestFit="1" customWidth="1"/>
    <col min="4" max="4" width="65.5703125" bestFit="1" customWidth="1"/>
    <col min="5" max="5" width="13.5703125" bestFit="1" customWidth="1"/>
    <col min="6" max="6" width="22.7109375" bestFit="1" customWidth="1"/>
    <col min="13" max="13" width="15.85546875" customWidth="1"/>
  </cols>
  <sheetData>
    <row r="1" spans="1:13" x14ac:dyDescent="0.25">
      <c r="A1" s="1" t="s">
        <v>0</v>
      </c>
      <c r="B1" s="2" t="s">
        <v>132</v>
      </c>
      <c r="C1" s="1" t="s">
        <v>1</v>
      </c>
      <c r="D1" s="1" t="s">
        <v>2</v>
      </c>
      <c r="E1" s="1" t="s">
        <v>134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459</v>
      </c>
      <c r="K1" s="1" t="s">
        <v>7</v>
      </c>
      <c r="L1" s="1" t="s">
        <v>8</v>
      </c>
      <c r="M1" s="1" t="s">
        <v>9</v>
      </c>
    </row>
    <row r="2" spans="1:13" x14ac:dyDescent="0.25">
      <c r="A2" t="s">
        <v>398</v>
      </c>
      <c r="B2" s="3">
        <v>46263</v>
      </c>
      <c r="C2" t="s">
        <v>77</v>
      </c>
      <c r="D2" t="s">
        <v>390</v>
      </c>
      <c r="E2" t="s">
        <v>133</v>
      </c>
      <c r="F2" t="s">
        <v>454</v>
      </c>
      <c r="G2" s="4">
        <v>94055040</v>
      </c>
      <c r="H2">
        <v>6</v>
      </c>
      <c r="I2">
        <v>800</v>
      </c>
      <c r="J2">
        <v>4800</v>
      </c>
      <c r="K2">
        <v>432</v>
      </c>
      <c r="L2">
        <v>432</v>
      </c>
      <c r="M2">
        <v>5664</v>
      </c>
    </row>
    <row r="3" spans="1:13" x14ac:dyDescent="0.25">
      <c r="A3" t="s">
        <v>389</v>
      </c>
      <c r="B3" s="3">
        <v>46263</v>
      </c>
      <c r="C3" t="s">
        <v>78</v>
      </c>
      <c r="D3" t="s">
        <v>390</v>
      </c>
      <c r="E3" t="s">
        <v>133</v>
      </c>
      <c r="F3" t="s">
        <v>454</v>
      </c>
      <c r="G3" s="4">
        <v>94055040</v>
      </c>
      <c r="H3" s="4">
        <v>2</v>
      </c>
      <c r="I3" s="4">
        <v>832.38</v>
      </c>
      <c r="J3">
        <v>1664.76</v>
      </c>
      <c r="K3">
        <v>149.82839999999999</v>
      </c>
      <c r="L3">
        <v>149.82839999999999</v>
      </c>
      <c r="M3">
        <v>1964.4</v>
      </c>
    </row>
    <row r="4" spans="1:13" x14ac:dyDescent="0.25">
      <c r="A4" t="s">
        <v>389</v>
      </c>
      <c r="B4" s="3">
        <v>46263</v>
      </c>
      <c r="C4" t="s">
        <v>78</v>
      </c>
      <c r="D4" t="s">
        <v>391</v>
      </c>
      <c r="E4" t="s">
        <v>392</v>
      </c>
      <c r="F4" t="s">
        <v>458</v>
      </c>
      <c r="G4" s="4">
        <v>85441990</v>
      </c>
      <c r="H4" s="4">
        <v>1</v>
      </c>
      <c r="I4" s="4">
        <v>983.05</v>
      </c>
      <c r="J4">
        <v>983.05</v>
      </c>
      <c r="K4">
        <v>88.474499999999992</v>
      </c>
      <c r="L4">
        <v>88.474499999999992</v>
      </c>
      <c r="M4">
        <v>1160</v>
      </c>
    </row>
    <row r="5" spans="1:13" x14ac:dyDescent="0.25">
      <c r="A5" t="s">
        <v>389</v>
      </c>
      <c r="B5" s="3">
        <v>46263</v>
      </c>
      <c r="C5" t="s">
        <v>78</v>
      </c>
      <c r="D5" t="s">
        <v>393</v>
      </c>
      <c r="E5" t="s">
        <v>392</v>
      </c>
      <c r="F5" t="s">
        <v>458</v>
      </c>
      <c r="G5" s="4">
        <v>85441990</v>
      </c>
      <c r="H5" s="4">
        <v>1</v>
      </c>
      <c r="I5" s="4">
        <v>983.05</v>
      </c>
      <c r="J5">
        <v>983.05</v>
      </c>
      <c r="K5">
        <v>88.474499999999992</v>
      </c>
      <c r="L5">
        <v>88.474499999999992</v>
      </c>
      <c r="M5">
        <v>1160</v>
      </c>
    </row>
    <row r="6" spans="1:13" x14ac:dyDescent="0.25">
      <c r="A6" t="s">
        <v>389</v>
      </c>
      <c r="B6" s="3">
        <v>46263</v>
      </c>
      <c r="C6" t="s">
        <v>78</v>
      </c>
      <c r="D6" t="s">
        <v>394</v>
      </c>
      <c r="E6" t="s">
        <v>392</v>
      </c>
      <c r="F6" t="s">
        <v>458</v>
      </c>
      <c r="G6" s="4">
        <v>85441990</v>
      </c>
      <c r="H6" s="4">
        <v>1</v>
      </c>
      <c r="I6" s="4">
        <v>1355.93</v>
      </c>
      <c r="J6">
        <v>1355.93</v>
      </c>
      <c r="K6">
        <v>122.0337</v>
      </c>
      <c r="L6">
        <v>122.0337</v>
      </c>
      <c r="M6">
        <v>1600</v>
      </c>
    </row>
    <row r="7" spans="1:13" x14ac:dyDescent="0.25">
      <c r="A7" t="s">
        <v>389</v>
      </c>
      <c r="B7" s="3">
        <v>46263</v>
      </c>
      <c r="C7" t="s">
        <v>78</v>
      </c>
      <c r="D7" t="s">
        <v>395</v>
      </c>
      <c r="E7" t="s">
        <v>392</v>
      </c>
      <c r="F7" t="s">
        <v>458</v>
      </c>
      <c r="G7" s="4">
        <v>85441990</v>
      </c>
      <c r="H7" s="4">
        <v>1</v>
      </c>
      <c r="I7" s="4">
        <v>1355.93</v>
      </c>
      <c r="J7">
        <v>1355.93</v>
      </c>
      <c r="K7">
        <v>122.0337</v>
      </c>
      <c r="L7">
        <v>122.0337</v>
      </c>
      <c r="M7">
        <v>1600</v>
      </c>
    </row>
    <row r="8" spans="1:13" x14ac:dyDescent="0.25">
      <c r="A8" t="s">
        <v>389</v>
      </c>
      <c r="B8" s="3">
        <v>46263</v>
      </c>
      <c r="C8" t="s">
        <v>78</v>
      </c>
      <c r="D8" t="s">
        <v>396</v>
      </c>
      <c r="E8" t="s">
        <v>392</v>
      </c>
      <c r="F8" t="s">
        <v>458</v>
      </c>
      <c r="G8" s="4">
        <v>85441990</v>
      </c>
      <c r="H8" s="4">
        <v>1</v>
      </c>
      <c r="I8" s="4">
        <v>2008.47</v>
      </c>
      <c r="J8">
        <v>2008.47</v>
      </c>
      <c r="K8">
        <v>180.76229999999998</v>
      </c>
      <c r="L8">
        <v>180.76229999999998</v>
      </c>
      <c r="M8">
        <v>2370</v>
      </c>
    </row>
    <row r="9" spans="1:13" x14ac:dyDescent="0.25">
      <c r="A9" t="s">
        <v>389</v>
      </c>
      <c r="B9" s="3">
        <v>46263</v>
      </c>
      <c r="C9" t="s">
        <v>78</v>
      </c>
      <c r="D9" t="s">
        <v>397</v>
      </c>
      <c r="E9" t="s">
        <v>392</v>
      </c>
      <c r="F9" t="s">
        <v>458</v>
      </c>
      <c r="G9" s="4">
        <v>85441990</v>
      </c>
      <c r="H9" s="4">
        <v>1</v>
      </c>
      <c r="I9" s="4">
        <v>1355.93</v>
      </c>
      <c r="J9">
        <v>1355.93</v>
      </c>
      <c r="K9">
        <v>122.0337</v>
      </c>
      <c r="L9">
        <v>122.0337</v>
      </c>
      <c r="M9">
        <v>1600</v>
      </c>
    </row>
    <row r="10" spans="1:13" x14ac:dyDescent="0.25">
      <c r="A10" t="s">
        <v>388</v>
      </c>
      <c r="B10" s="3">
        <v>46261</v>
      </c>
      <c r="C10" t="s">
        <v>22</v>
      </c>
      <c r="D10" t="s">
        <v>18</v>
      </c>
      <c r="E10" t="s">
        <v>452</v>
      </c>
      <c r="F10" t="s">
        <v>454</v>
      </c>
      <c r="G10" s="4">
        <v>94054900</v>
      </c>
      <c r="H10" s="4">
        <v>6</v>
      </c>
      <c r="I10" s="4">
        <v>50.71</v>
      </c>
      <c r="J10">
        <v>304.26</v>
      </c>
      <c r="K10">
        <v>27.383399999999998</v>
      </c>
      <c r="L10">
        <v>27.383399999999998</v>
      </c>
      <c r="M10">
        <v>359</v>
      </c>
    </row>
    <row r="11" spans="1:13" x14ac:dyDescent="0.25">
      <c r="A11" t="s">
        <v>388</v>
      </c>
      <c r="B11" s="3">
        <v>46261</v>
      </c>
      <c r="C11" t="s">
        <v>22</v>
      </c>
      <c r="D11" t="s">
        <v>13</v>
      </c>
      <c r="E11" t="s">
        <v>452</v>
      </c>
      <c r="F11" t="s">
        <v>454</v>
      </c>
      <c r="G11" s="4">
        <v>94054900</v>
      </c>
      <c r="H11" s="4">
        <v>20</v>
      </c>
      <c r="I11" s="4">
        <v>84.75</v>
      </c>
      <c r="J11">
        <v>1695</v>
      </c>
      <c r="K11">
        <v>152.54999999999998</v>
      </c>
      <c r="L11">
        <v>152.54999999999998</v>
      </c>
      <c r="M11">
        <v>2000.1</v>
      </c>
    </row>
    <row r="12" spans="1:13" x14ac:dyDescent="0.25">
      <c r="A12" t="s">
        <v>388</v>
      </c>
      <c r="B12" s="3">
        <v>46261</v>
      </c>
      <c r="C12" t="s">
        <v>22</v>
      </c>
      <c r="D12" t="s">
        <v>59</v>
      </c>
      <c r="E12" t="s">
        <v>452</v>
      </c>
      <c r="F12" t="s">
        <v>454</v>
      </c>
      <c r="G12" s="4">
        <v>94054900</v>
      </c>
      <c r="H12" s="4">
        <v>20</v>
      </c>
      <c r="I12" s="4">
        <v>224.58</v>
      </c>
      <c r="J12">
        <v>4491.6000000000004</v>
      </c>
      <c r="K12">
        <v>404.24400000000003</v>
      </c>
      <c r="L12">
        <v>404.24400000000003</v>
      </c>
      <c r="M12">
        <v>5300.1</v>
      </c>
    </row>
    <row r="13" spans="1:13" x14ac:dyDescent="0.25">
      <c r="A13" t="s">
        <v>388</v>
      </c>
      <c r="B13" s="3">
        <v>46261</v>
      </c>
      <c r="C13" t="s">
        <v>22</v>
      </c>
      <c r="D13" t="s">
        <v>44</v>
      </c>
      <c r="E13" t="s">
        <v>452</v>
      </c>
      <c r="F13" t="s">
        <v>454</v>
      </c>
      <c r="G13" s="4">
        <v>94054900</v>
      </c>
      <c r="H13" s="4">
        <v>6</v>
      </c>
      <c r="I13" s="4">
        <v>183.9</v>
      </c>
      <c r="J13">
        <v>1103.4000000000001</v>
      </c>
      <c r="K13">
        <v>99.306000000000012</v>
      </c>
      <c r="L13">
        <v>99.306000000000012</v>
      </c>
      <c r="M13">
        <v>1302</v>
      </c>
    </row>
    <row r="14" spans="1:13" x14ac:dyDescent="0.25">
      <c r="A14" t="s">
        <v>388</v>
      </c>
      <c r="B14" s="3">
        <v>46261</v>
      </c>
      <c r="C14" t="s">
        <v>22</v>
      </c>
      <c r="D14" t="s">
        <v>24</v>
      </c>
      <c r="E14" t="s">
        <v>452</v>
      </c>
      <c r="F14" t="s">
        <v>454</v>
      </c>
      <c r="G14" s="4">
        <v>94054900</v>
      </c>
      <c r="H14" s="4">
        <v>6</v>
      </c>
      <c r="I14" s="4">
        <v>253.39</v>
      </c>
      <c r="J14">
        <v>1520.34</v>
      </c>
      <c r="K14">
        <v>136.83059999999998</v>
      </c>
      <c r="L14">
        <v>136.83059999999998</v>
      </c>
      <c r="M14">
        <v>1794</v>
      </c>
    </row>
    <row r="15" spans="1:13" x14ac:dyDescent="0.25">
      <c r="A15" t="s">
        <v>388</v>
      </c>
      <c r="B15" s="3">
        <v>46261</v>
      </c>
      <c r="C15" t="s">
        <v>22</v>
      </c>
      <c r="D15" t="s">
        <v>460</v>
      </c>
      <c r="E15" t="s">
        <v>452</v>
      </c>
      <c r="F15" t="s">
        <v>454</v>
      </c>
      <c r="G15" s="4">
        <v>94054900</v>
      </c>
      <c r="H15" s="4">
        <v>1</v>
      </c>
      <c r="I15" s="4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386</v>
      </c>
      <c r="B16" s="3">
        <v>46261</v>
      </c>
      <c r="C16" t="s">
        <v>129</v>
      </c>
      <c r="D16" t="s">
        <v>59</v>
      </c>
      <c r="E16" t="s">
        <v>452</v>
      </c>
      <c r="F16" t="s">
        <v>454</v>
      </c>
      <c r="G16" s="4">
        <v>94054900</v>
      </c>
      <c r="H16">
        <v>20</v>
      </c>
      <c r="I16">
        <v>224.58</v>
      </c>
      <c r="J16">
        <v>4491.6000000000004</v>
      </c>
      <c r="K16">
        <v>404.24400000000003</v>
      </c>
      <c r="L16">
        <v>404.24400000000003</v>
      </c>
      <c r="M16">
        <v>5300.1</v>
      </c>
    </row>
    <row r="17" spans="1:13" x14ac:dyDescent="0.25">
      <c r="A17" t="s">
        <v>386</v>
      </c>
      <c r="B17" s="3">
        <v>46261</v>
      </c>
      <c r="C17" t="s">
        <v>129</v>
      </c>
      <c r="D17" t="s">
        <v>74</v>
      </c>
      <c r="E17" t="s">
        <v>452</v>
      </c>
      <c r="F17" t="s">
        <v>454</v>
      </c>
      <c r="G17" s="4">
        <v>94054900</v>
      </c>
      <c r="H17">
        <v>30</v>
      </c>
      <c r="I17">
        <v>120.34</v>
      </c>
      <c r="J17">
        <v>3610.2000000000003</v>
      </c>
      <c r="K17">
        <v>324.91800000000001</v>
      </c>
      <c r="L17">
        <v>324.91800000000001</v>
      </c>
      <c r="M17">
        <v>4260</v>
      </c>
    </row>
    <row r="18" spans="1:13" x14ac:dyDescent="0.25">
      <c r="A18" t="s">
        <v>386</v>
      </c>
      <c r="B18" s="3">
        <v>46261</v>
      </c>
      <c r="C18" t="s">
        <v>129</v>
      </c>
      <c r="D18" t="s">
        <v>387</v>
      </c>
      <c r="E18" t="s">
        <v>452</v>
      </c>
      <c r="F18" t="s">
        <v>454</v>
      </c>
      <c r="G18" s="4">
        <v>94054090</v>
      </c>
      <c r="H18">
        <v>10</v>
      </c>
      <c r="I18">
        <v>120.34</v>
      </c>
      <c r="J18">
        <v>1203.4000000000001</v>
      </c>
      <c r="K18">
        <v>108.306</v>
      </c>
      <c r="L18">
        <v>108.306</v>
      </c>
      <c r="M18">
        <v>1420</v>
      </c>
    </row>
    <row r="19" spans="1:13" x14ac:dyDescent="0.25">
      <c r="A19" t="s">
        <v>386</v>
      </c>
      <c r="B19" s="3">
        <v>46261</v>
      </c>
      <c r="C19" t="s">
        <v>129</v>
      </c>
      <c r="D19" t="s">
        <v>336</v>
      </c>
      <c r="E19" t="s">
        <v>452</v>
      </c>
      <c r="F19" t="s">
        <v>453</v>
      </c>
      <c r="G19" s="4">
        <v>84145120</v>
      </c>
      <c r="H19">
        <v>2</v>
      </c>
      <c r="I19">
        <v>1156.78</v>
      </c>
      <c r="J19">
        <v>2313.56</v>
      </c>
      <c r="K19">
        <v>208.22039999999998</v>
      </c>
      <c r="L19">
        <v>208.22039999999998</v>
      </c>
      <c r="M19">
        <v>2730</v>
      </c>
    </row>
    <row r="20" spans="1:13" x14ac:dyDescent="0.25">
      <c r="A20" t="s">
        <v>385</v>
      </c>
      <c r="B20" s="3">
        <v>46261</v>
      </c>
      <c r="C20" t="s">
        <v>10</v>
      </c>
      <c r="D20" t="s">
        <v>14</v>
      </c>
      <c r="E20" t="s">
        <v>452</v>
      </c>
      <c r="F20" t="s">
        <v>454</v>
      </c>
      <c r="G20" s="4">
        <v>94054900</v>
      </c>
      <c r="H20">
        <v>5</v>
      </c>
      <c r="I20">
        <v>67.8</v>
      </c>
      <c r="J20">
        <v>339</v>
      </c>
      <c r="K20">
        <v>30.509999999999998</v>
      </c>
      <c r="L20">
        <v>30.509999999999998</v>
      </c>
      <c r="M20">
        <v>400</v>
      </c>
    </row>
    <row r="21" spans="1:13" x14ac:dyDescent="0.25">
      <c r="A21" t="s">
        <v>385</v>
      </c>
      <c r="B21" s="3">
        <v>46261</v>
      </c>
      <c r="C21" t="s">
        <v>10</v>
      </c>
      <c r="D21" t="s">
        <v>145</v>
      </c>
      <c r="E21" t="s">
        <v>452</v>
      </c>
      <c r="F21" t="s">
        <v>454</v>
      </c>
      <c r="G21" s="4">
        <v>94054900</v>
      </c>
      <c r="H21">
        <v>5</v>
      </c>
      <c r="I21">
        <v>80.510000000000005</v>
      </c>
      <c r="J21">
        <v>402.55</v>
      </c>
      <c r="K21">
        <v>36.229500000000002</v>
      </c>
      <c r="L21">
        <v>36.229500000000002</v>
      </c>
      <c r="M21">
        <v>475</v>
      </c>
    </row>
    <row r="22" spans="1:13" x14ac:dyDescent="0.25">
      <c r="A22" t="s">
        <v>385</v>
      </c>
      <c r="B22" s="3">
        <v>46261</v>
      </c>
      <c r="C22" t="s">
        <v>10</v>
      </c>
      <c r="D22" t="s">
        <v>140</v>
      </c>
      <c r="E22" t="s">
        <v>452</v>
      </c>
      <c r="F22" t="s">
        <v>454</v>
      </c>
      <c r="G22" s="4">
        <v>94054900</v>
      </c>
      <c r="H22">
        <v>5</v>
      </c>
      <c r="I22">
        <v>122.88</v>
      </c>
      <c r="J22">
        <v>614.4</v>
      </c>
      <c r="K22">
        <v>55.295999999999999</v>
      </c>
      <c r="L22">
        <v>55.295999999999999</v>
      </c>
      <c r="M22">
        <v>725</v>
      </c>
    </row>
    <row r="23" spans="1:13" x14ac:dyDescent="0.25">
      <c r="A23" t="s">
        <v>383</v>
      </c>
      <c r="B23" s="3">
        <v>46261</v>
      </c>
      <c r="C23" t="s">
        <v>38</v>
      </c>
      <c r="D23" t="s">
        <v>13</v>
      </c>
      <c r="E23" t="s">
        <v>452</v>
      </c>
      <c r="F23" t="s">
        <v>454</v>
      </c>
      <c r="G23" s="4">
        <v>94054900</v>
      </c>
      <c r="H23" s="4">
        <v>80</v>
      </c>
      <c r="I23" s="4">
        <v>88.98</v>
      </c>
      <c r="J23">
        <v>7118.4000000000005</v>
      </c>
      <c r="K23">
        <v>640.65600000000006</v>
      </c>
      <c r="L23">
        <v>640.65600000000006</v>
      </c>
      <c r="M23">
        <v>8399.7000000000007</v>
      </c>
    </row>
    <row r="24" spans="1:13" x14ac:dyDescent="0.25">
      <c r="A24" t="s">
        <v>383</v>
      </c>
      <c r="B24" s="3">
        <v>46261</v>
      </c>
      <c r="C24" t="s">
        <v>38</v>
      </c>
      <c r="D24" t="s">
        <v>59</v>
      </c>
      <c r="E24" t="s">
        <v>452</v>
      </c>
      <c r="F24" t="s">
        <v>454</v>
      </c>
      <c r="G24" s="4">
        <v>94054900</v>
      </c>
      <c r="H24" s="4">
        <v>20</v>
      </c>
      <c r="I24" s="4">
        <v>224.58</v>
      </c>
      <c r="J24">
        <v>4491.6000000000004</v>
      </c>
      <c r="K24">
        <v>404.24400000000003</v>
      </c>
      <c r="L24">
        <v>404.24400000000003</v>
      </c>
      <c r="M24">
        <v>5300.1</v>
      </c>
    </row>
    <row r="25" spans="1:13" x14ac:dyDescent="0.25">
      <c r="A25" t="s">
        <v>383</v>
      </c>
      <c r="B25" s="3">
        <v>46261</v>
      </c>
      <c r="C25" t="s">
        <v>38</v>
      </c>
      <c r="D25" t="s">
        <v>35</v>
      </c>
      <c r="E25" t="s">
        <v>452</v>
      </c>
      <c r="F25" t="s">
        <v>454</v>
      </c>
      <c r="G25" s="4">
        <v>94054900</v>
      </c>
      <c r="H25" s="4">
        <v>100</v>
      </c>
      <c r="I25" s="4">
        <v>27.12</v>
      </c>
      <c r="J25">
        <v>2712</v>
      </c>
      <c r="K25">
        <v>244.07999999999998</v>
      </c>
      <c r="L25">
        <v>244.07999999999998</v>
      </c>
      <c r="M25">
        <v>3200.2</v>
      </c>
    </row>
    <row r="26" spans="1:13" x14ac:dyDescent="0.25">
      <c r="A26" t="s">
        <v>383</v>
      </c>
      <c r="B26" s="3">
        <v>46261</v>
      </c>
      <c r="C26" t="s">
        <v>38</v>
      </c>
      <c r="D26" t="s">
        <v>32</v>
      </c>
      <c r="E26" t="s">
        <v>452</v>
      </c>
      <c r="F26" t="s">
        <v>454</v>
      </c>
      <c r="G26" s="4">
        <v>94054900</v>
      </c>
      <c r="H26" s="4">
        <v>5</v>
      </c>
      <c r="I26" s="4">
        <v>540.67999999999995</v>
      </c>
      <c r="J26">
        <v>2703.3999999999996</v>
      </c>
      <c r="K26">
        <v>243.30599999999995</v>
      </c>
      <c r="L26">
        <v>243.30599999999995</v>
      </c>
      <c r="M26">
        <v>3190</v>
      </c>
    </row>
    <row r="27" spans="1:13" x14ac:dyDescent="0.25">
      <c r="A27" t="s">
        <v>383</v>
      </c>
      <c r="B27" s="3">
        <v>46261</v>
      </c>
      <c r="C27" t="s">
        <v>38</v>
      </c>
      <c r="D27" t="s">
        <v>60</v>
      </c>
      <c r="E27" t="s">
        <v>452</v>
      </c>
      <c r="F27" t="s">
        <v>454</v>
      </c>
      <c r="G27" s="4">
        <v>94054900</v>
      </c>
      <c r="H27" s="4">
        <v>5</v>
      </c>
      <c r="I27" s="4">
        <v>477.12</v>
      </c>
      <c r="J27">
        <v>2385.6</v>
      </c>
      <c r="K27">
        <v>214.70399999999998</v>
      </c>
      <c r="L27">
        <v>214.70399999999998</v>
      </c>
      <c r="M27">
        <v>2815</v>
      </c>
    </row>
    <row r="28" spans="1:13" x14ac:dyDescent="0.25">
      <c r="A28" t="s">
        <v>383</v>
      </c>
      <c r="B28" s="3">
        <v>46261</v>
      </c>
      <c r="C28" t="s">
        <v>38</v>
      </c>
      <c r="D28" t="s">
        <v>287</v>
      </c>
      <c r="E28" t="s">
        <v>133</v>
      </c>
      <c r="F28" t="s">
        <v>454</v>
      </c>
      <c r="G28" s="4">
        <v>94054090</v>
      </c>
      <c r="H28" s="4">
        <v>18</v>
      </c>
      <c r="I28" s="4">
        <v>207.63</v>
      </c>
      <c r="J28">
        <v>3737.34</v>
      </c>
      <c r="K28">
        <v>336.36059999999998</v>
      </c>
      <c r="L28">
        <v>336.36059999999998</v>
      </c>
      <c r="M28">
        <v>4410.1000000000004</v>
      </c>
    </row>
    <row r="29" spans="1:13" x14ac:dyDescent="0.25">
      <c r="A29" t="s">
        <v>383</v>
      </c>
      <c r="B29" s="3">
        <v>46261</v>
      </c>
      <c r="C29" t="s">
        <v>38</v>
      </c>
      <c r="D29" t="s">
        <v>140</v>
      </c>
      <c r="E29" t="s">
        <v>452</v>
      </c>
      <c r="F29" t="s">
        <v>454</v>
      </c>
      <c r="G29" s="4">
        <v>94054900</v>
      </c>
      <c r="H29" s="4">
        <v>10</v>
      </c>
      <c r="I29" s="4">
        <v>120.34</v>
      </c>
      <c r="J29">
        <v>1203.4000000000001</v>
      </c>
      <c r="K29">
        <v>108.306</v>
      </c>
      <c r="L29">
        <v>108.306</v>
      </c>
      <c r="M29">
        <v>1420</v>
      </c>
    </row>
    <row r="30" spans="1:13" x14ac:dyDescent="0.25">
      <c r="A30" t="s">
        <v>383</v>
      </c>
      <c r="B30" s="3">
        <v>46261</v>
      </c>
      <c r="C30" t="s">
        <v>38</v>
      </c>
      <c r="D30" t="s">
        <v>26</v>
      </c>
      <c r="E30" t="s">
        <v>452</v>
      </c>
      <c r="F30" t="s">
        <v>454</v>
      </c>
      <c r="G30" s="4">
        <v>94054900</v>
      </c>
      <c r="H30" s="4">
        <v>100</v>
      </c>
      <c r="I30" s="4">
        <v>50.85</v>
      </c>
      <c r="J30">
        <v>5085</v>
      </c>
      <c r="K30">
        <v>457.65</v>
      </c>
      <c r="L30">
        <v>457.65</v>
      </c>
      <c r="M30">
        <v>6000.3</v>
      </c>
    </row>
    <row r="31" spans="1:13" x14ac:dyDescent="0.25">
      <c r="A31" t="s">
        <v>383</v>
      </c>
      <c r="B31" s="3">
        <v>46261</v>
      </c>
      <c r="C31" t="s">
        <v>38</v>
      </c>
      <c r="D31" t="s">
        <v>384</v>
      </c>
      <c r="E31" t="s">
        <v>452</v>
      </c>
      <c r="F31" t="s">
        <v>454</v>
      </c>
      <c r="G31" s="4">
        <v>94054900</v>
      </c>
      <c r="H31" s="4">
        <v>50</v>
      </c>
      <c r="I31" s="4">
        <v>57.63</v>
      </c>
      <c r="J31">
        <v>2881.5</v>
      </c>
      <c r="K31">
        <v>259.33499999999998</v>
      </c>
      <c r="L31">
        <v>259.33499999999998</v>
      </c>
      <c r="M31">
        <v>3400.2</v>
      </c>
    </row>
    <row r="32" spans="1:13" x14ac:dyDescent="0.25">
      <c r="A32" t="s">
        <v>381</v>
      </c>
      <c r="B32" s="3">
        <v>46261</v>
      </c>
      <c r="C32" t="s">
        <v>25</v>
      </c>
      <c r="D32" t="s">
        <v>368</v>
      </c>
      <c r="E32" t="s">
        <v>452</v>
      </c>
      <c r="F32" t="s">
        <v>454</v>
      </c>
      <c r="G32" s="4">
        <v>94054900</v>
      </c>
      <c r="H32">
        <v>5</v>
      </c>
      <c r="I32">
        <v>119.49</v>
      </c>
      <c r="J32">
        <v>597.44999999999993</v>
      </c>
      <c r="K32">
        <v>53.770499999999991</v>
      </c>
      <c r="L32">
        <v>53.770499999999991</v>
      </c>
      <c r="M32">
        <v>705</v>
      </c>
    </row>
    <row r="33" spans="1:13" x14ac:dyDescent="0.25">
      <c r="A33" t="s">
        <v>381</v>
      </c>
      <c r="B33" s="3">
        <v>46261</v>
      </c>
      <c r="C33" t="s">
        <v>25</v>
      </c>
      <c r="D33" t="s">
        <v>54</v>
      </c>
      <c r="E33" t="s">
        <v>452</v>
      </c>
      <c r="F33" t="s">
        <v>454</v>
      </c>
      <c r="G33" s="4">
        <v>94054900</v>
      </c>
      <c r="H33">
        <v>5</v>
      </c>
      <c r="I33">
        <v>131.36000000000001</v>
      </c>
      <c r="J33">
        <v>656.80000000000007</v>
      </c>
      <c r="K33">
        <v>59.112000000000002</v>
      </c>
      <c r="L33">
        <v>59.112000000000002</v>
      </c>
      <c r="M33">
        <v>775</v>
      </c>
    </row>
    <row r="34" spans="1:13" x14ac:dyDescent="0.25">
      <c r="A34" t="s">
        <v>381</v>
      </c>
      <c r="B34" s="3">
        <v>46261</v>
      </c>
      <c r="C34" t="s">
        <v>25</v>
      </c>
      <c r="D34" t="s">
        <v>74</v>
      </c>
      <c r="E34" t="s">
        <v>452</v>
      </c>
      <c r="F34" t="s">
        <v>454</v>
      </c>
      <c r="G34" s="4">
        <v>94054900</v>
      </c>
      <c r="H34">
        <v>3</v>
      </c>
      <c r="I34">
        <v>120.34</v>
      </c>
      <c r="J34">
        <v>361.02</v>
      </c>
      <c r="K34">
        <v>32.491799999999998</v>
      </c>
      <c r="L34">
        <v>32.491799999999998</v>
      </c>
      <c r="M34">
        <v>426</v>
      </c>
    </row>
    <row r="35" spans="1:13" x14ac:dyDescent="0.25">
      <c r="A35" t="s">
        <v>381</v>
      </c>
      <c r="B35" s="3">
        <v>46261</v>
      </c>
      <c r="C35" t="s">
        <v>25</v>
      </c>
      <c r="D35" t="s">
        <v>123</v>
      </c>
      <c r="E35" t="s">
        <v>452</v>
      </c>
      <c r="F35" t="s">
        <v>454</v>
      </c>
      <c r="G35" s="4">
        <v>94054900</v>
      </c>
      <c r="H35">
        <v>9</v>
      </c>
      <c r="I35">
        <v>132.19999999999999</v>
      </c>
      <c r="J35">
        <v>1189.8</v>
      </c>
      <c r="K35">
        <v>107.08199999999999</v>
      </c>
      <c r="L35">
        <v>107.08199999999999</v>
      </c>
      <c r="M35">
        <v>1404</v>
      </c>
    </row>
    <row r="36" spans="1:13" x14ac:dyDescent="0.25">
      <c r="A36" t="s">
        <v>381</v>
      </c>
      <c r="B36" s="3">
        <v>46261</v>
      </c>
      <c r="C36" t="s">
        <v>25</v>
      </c>
      <c r="D36" t="s">
        <v>47</v>
      </c>
      <c r="E36" t="s">
        <v>452</v>
      </c>
      <c r="F36" t="s">
        <v>454</v>
      </c>
      <c r="G36" s="4">
        <v>94054900</v>
      </c>
      <c r="H36">
        <v>6</v>
      </c>
      <c r="I36">
        <v>253.39</v>
      </c>
      <c r="J36">
        <v>1520.34</v>
      </c>
      <c r="K36">
        <v>136.83059999999998</v>
      </c>
      <c r="L36">
        <v>136.83059999999998</v>
      </c>
      <c r="M36">
        <v>1794</v>
      </c>
    </row>
    <row r="37" spans="1:13" x14ac:dyDescent="0.25">
      <c r="A37" t="s">
        <v>381</v>
      </c>
      <c r="B37" s="3">
        <v>46261</v>
      </c>
      <c r="C37" t="s">
        <v>25</v>
      </c>
      <c r="D37" t="s">
        <v>382</v>
      </c>
      <c r="E37" t="s">
        <v>452</v>
      </c>
      <c r="F37" t="s">
        <v>454</v>
      </c>
      <c r="G37" s="4">
        <v>94054900</v>
      </c>
      <c r="H37">
        <v>1</v>
      </c>
      <c r="I37">
        <v>254.24</v>
      </c>
      <c r="J37">
        <v>254.24</v>
      </c>
      <c r="K37">
        <v>22.881599999999999</v>
      </c>
      <c r="L37">
        <v>22.881599999999999</v>
      </c>
      <c r="M37">
        <v>300</v>
      </c>
    </row>
    <row r="38" spans="1:13" x14ac:dyDescent="0.25">
      <c r="A38" t="s">
        <v>381</v>
      </c>
      <c r="B38" s="3">
        <v>46261</v>
      </c>
      <c r="C38" t="s">
        <v>25</v>
      </c>
      <c r="D38" t="s">
        <v>43</v>
      </c>
      <c r="E38" t="s">
        <v>452</v>
      </c>
      <c r="F38" t="s">
        <v>454</v>
      </c>
      <c r="G38" s="4">
        <v>94054900</v>
      </c>
      <c r="H38">
        <v>15</v>
      </c>
      <c r="I38">
        <v>27.12</v>
      </c>
      <c r="J38">
        <v>406.8</v>
      </c>
      <c r="K38">
        <v>36.612000000000002</v>
      </c>
      <c r="L38">
        <v>36.612000000000002</v>
      </c>
      <c r="M38">
        <v>480</v>
      </c>
    </row>
    <row r="39" spans="1:13" x14ac:dyDescent="0.25">
      <c r="A39" t="s">
        <v>380</v>
      </c>
      <c r="B39" s="3">
        <v>46257</v>
      </c>
      <c r="C39" t="s">
        <v>65</v>
      </c>
      <c r="D39" t="s">
        <v>145</v>
      </c>
      <c r="E39" t="s">
        <v>452</v>
      </c>
      <c r="F39" t="s">
        <v>454</v>
      </c>
      <c r="G39" s="4">
        <v>94054900</v>
      </c>
      <c r="H39">
        <v>15</v>
      </c>
      <c r="I39">
        <v>80.510000000000005</v>
      </c>
      <c r="J39">
        <v>1207.6500000000001</v>
      </c>
      <c r="K39">
        <v>108.6885</v>
      </c>
      <c r="L39">
        <v>108.6885</v>
      </c>
      <c r="M39">
        <v>1425</v>
      </c>
    </row>
    <row r="40" spans="1:13" x14ac:dyDescent="0.25">
      <c r="A40" t="s">
        <v>380</v>
      </c>
      <c r="B40" s="3">
        <v>46257</v>
      </c>
      <c r="C40" t="s">
        <v>65</v>
      </c>
      <c r="D40" t="s">
        <v>35</v>
      </c>
      <c r="E40" t="s">
        <v>452</v>
      </c>
      <c r="F40" t="s">
        <v>454</v>
      </c>
      <c r="G40" s="4">
        <v>94054900</v>
      </c>
      <c r="H40">
        <v>100</v>
      </c>
      <c r="I40">
        <v>27.12</v>
      </c>
      <c r="J40">
        <v>2712</v>
      </c>
      <c r="K40">
        <v>244.07999999999998</v>
      </c>
      <c r="L40">
        <v>244.07999999999998</v>
      </c>
      <c r="M40">
        <v>3200.2</v>
      </c>
    </row>
    <row r="41" spans="1:13" x14ac:dyDescent="0.25">
      <c r="A41" t="s">
        <v>380</v>
      </c>
      <c r="B41" s="3">
        <v>46257</v>
      </c>
      <c r="C41" t="s">
        <v>65</v>
      </c>
      <c r="D41" t="s">
        <v>13</v>
      </c>
      <c r="E41" t="s">
        <v>452</v>
      </c>
      <c r="F41" t="s">
        <v>454</v>
      </c>
      <c r="G41" s="4">
        <v>94054900</v>
      </c>
      <c r="H41">
        <v>20</v>
      </c>
      <c r="I41">
        <v>88.98</v>
      </c>
      <c r="J41">
        <v>1779.6000000000001</v>
      </c>
      <c r="K41">
        <v>160.16400000000002</v>
      </c>
      <c r="L41">
        <v>160.16400000000002</v>
      </c>
      <c r="M41">
        <v>2099.9</v>
      </c>
    </row>
    <row r="42" spans="1:13" x14ac:dyDescent="0.25">
      <c r="A42" t="s">
        <v>378</v>
      </c>
      <c r="B42" s="3">
        <v>46257</v>
      </c>
      <c r="C42" t="s">
        <v>151</v>
      </c>
      <c r="D42" t="s">
        <v>145</v>
      </c>
      <c r="E42" t="s">
        <v>452</v>
      </c>
      <c r="F42" t="s">
        <v>454</v>
      </c>
      <c r="G42" s="4">
        <v>94054900</v>
      </c>
      <c r="H42">
        <v>40</v>
      </c>
      <c r="I42">
        <v>78.81</v>
      </c>
      <c r="J42">
        <v>3152.4</v>
      </c>
      <c r="K42">
        <v>283.71600000000001</v>
      </c>
      <c r="L42">
        <v>283.71600000000001</v>
      </c>
      <c r="M42">
        <v>3719.8</v>
      </c>
    </row>
    <row r="43" spans="1:13" x14ac:dyDescent="0.25">
      <c r="A43" t="s">
        <v>378</v>
      </c>
      <c r="B43" s="3">
        <v>46257</v>
      </c>
      <c r="C43" t="s">
        <v>151</v>
      </c>
      <c r="D43" t="s">
        <v>14</v>
      </c>
      <c r="E43" t="s">
        <v>452</v>
      </c>
      <c r="F43" t="s">
        <v>454</v>
      </c>
      <c r="G43" s="4">
        <v>94054900</v>
      </c>
      <c r="H43">
        <v>40</v>
      </c>
      <c r="I43">
        <v>66.099999999999994</v>
      </c>
      <c r="J43">
        <v>2644</v>
      </c>
      <c r="K43">
        <v>237.95999999999998</v>
      </c>
      <c r="L43">
        <v>237.95999999999998</v>
      </c>
      <c r="M43">
        <v>3119.9</v>
      </c>
    </row>
    <row r="44" spans="1:13" x14ac:dyDescent="0.25">
      <c r="A44" t="s">
        <v>378</v>
      </c>
      <c r="B44" s="3">
        <v>46257</v>
      </c>
      <c r="C44" t="s">
        <v>151</v>
      </c>
      <c r="D44" t="s">
        <v>11</v>
      </c>
      <c r="E44" t="s">
        <v>452</v>
      </c>
      <c r="F44" t="s">
        <v>454</v>
      </c>
      <c r="G44" s="4">
        <v>94054900</v>
      </c>
      <c r="H44">
        <v>20</v>
      </c>
      <c r="I44">
        <v>51.69</v>
      </c>
      <c r="J44">
        <v>1033.8</v>
      </c>
      <c r="K44">
        <v>93.041999999999987</v>
      </c>
      <c r="L44">
        <v>93.041999999999987</v>
      </c>
      <c r="M44">
        <v>1219.9000000000001</v>
      </c>
    </row>
    <row r="45" spans="1:13" x14ac:dyDescent="0.25">
      <c r="A45" t="s">
        <v>378</v>
      </c>
      <c r="B45" s="3">
        <v>46257</v>
      </c>
      <c r="C45" t="s">
        <v>151</v>
      </c>
      <c r="D45" t="s">
        <v>121</v>
      </c>
      <c r="E45" t="s">
        <v>452</v>
      </c>
      <c r="F45" t="s">
        <v>454</v>
      </c>
      <c r="G45" s="4">
        <v>94054900</v>
      </c>
      <c r="H45">
        <v>10</v>
      </c>
      <c r="I45">
        <v>51.69</v>
      </c>
      <c r="J45">
        <v>516.9</v>
      </c>
      <c r="K45">
        <v>46.520999999999994</v>
      </c>
      <c r="L45">
        <v>46.520999999999994</v>
      </c>
      <c r="M45">
        <v>609.9</v>
      </c>
    </row>
    <row r="46" spans="1:13" x14ac:dyDescent="0.25">
      <c r="A46" t="s">
        <v>378</v>
      </c>
      <c r="B46" s="3">
        <v>46257</v>
      </c>
      <c r="C46" t="s">
        <v>151</v>
      </c>
      <c r="D46" t="s">
        <v>18</v>
      </c>
      <c r="E46" t="s">
        <v>452</v>
      </c>
      <c r="F46" t="s">
        <v>454</v>
      </c>
      <c r="G46" s="4">
        <v>94054900</v>
      </c>
      <c r="H46">
        <v>8</v>
      </c>
      <c r="I46">
        <v>304.24</v>
      </c>
      <c r="J46">
        <v>2433.92</v>
      </c>
      <c r="K46">
        <v>219.05279999999999</v>
      </c>
      <c r="L46">
        <v>219.05279999999999</v>
      </c>
      <c r="M46">
        <v>2872</v>
      </c>
    </row>
    <row r="47" spans="1:13" x14ac:dyDescent="0.25">
      <c r="A47" t="s">
        <v>378</v>
      </c>
      <c r="B47" s="3">
        <v>46257</v>
      </c>
      <c r="C47" t="s">
        <v>151</v>
      </c>
      <c r="D47" t="s">
        <v>72</v>
      </c>
      <c r="E47" t="s">
        <v>452</v>
      </c>
      <c r="F47" t="s">
        <v>454</v>
      </c>
      <c r="G47" s="4">
        <v>94054900</v>
      </c>
      <c r="H47">
        <v>3</v>
      </c>
      <c r="I47">
        <v>186.44</v>
      </c>
      <c r="J47">
        <v>559.31999999999994</v>
      </c>
      <c r="K47">
        <v>50.338799999999992</v>
      </c>
      <c r="L47">
        <v>50.338799999999992</v>
      </c>
      <c r="M47">
        <v>660</v>
      </c>
    </row>
    <row r="48" spans="1:13" x14ac:dyDescent="0.25">
      <c r="A48" t="s">
        <v>378</v>
      </c>
      <c r="B48" s="3">
        <v>46257</v>
      </c>
      <c r="C48" t="s">
        <v>151</v>
      </c>
      <c r="D48" t="s">
        <v>122</v>
      </c>
      <c r="E48" t="s">
        <v>452</v>
      </c>
      <c r="F48" t="s">
        <v>454</v>
      </c>
      <c r="G48" s="4">
        <v>94054900</v>
      </c>
      <c r="H48">
        <v>20</v>
      </c>
      <c r="I48">
        <v>132.19999999999999</v>
      </c>
      <c r="J48">
        <v>2644</v>
      </c>
      <c r="K48">
        <v>237.95999999999998</v>
      </c>
      <c r="L48">
        <v>237.95999999999998</v>
      </c>
      <c r="M48">
        <v>3119.9</v>
      </c>
    </row>
    <row r="49" spans="1:13" x14ac:dyDescent="0.25">
      <c r="A49" t="s">
        <v>378</v>
      </c>
      <c r="B49" s="3">
        <v>46257</v>
      </c>
      <c r="C49" t="s">
        <v>151</v>
      </c>
      <c r="D49" t="s">
        <v>54</v>
      </c>
      <c r="E49" t="s">
        <v>452</v>
      </c>
      <c r="F49" t="s">
        <v>454</v>
      </c>
      <c r="G49" s="4">
        <v>94054900</v>
      </c>
      <c r="H49">
        <v>10</v>
      </c>
      <c r="I49">
        <v>131.36000000000001</v>
      </c>
      <c r="J49">
        <v>1313.6000000000001</v>
      </c>
      <c r="K49">
        <v>118.224</v>
      </c>
      <c r="L49">
        <v>118.224</v>
      </c>
      <c r="M49">
        <v>1550</v>
      </c>
    </row>
    <row r="50" spans="1:13" x14ac:dyDescent="0.25">
      <c r="A50" t="s">
        <v>378</v>
      </c>
      <c r="B50" s="3">
        <v>46257</v>
      </c>
      <c r="C50" t="s">
        <v>151</v>
      </c>
      <c r="D50" t="s">
        <v>32</v>
      </c>
      <c r="E50" t="s">
        <v>452</v>
      </c>
      <c r="F50" t="s">
        <v>454</v>
      </c>
      <c r="G50" s="4">
        <v>94054900</v>
      </c>
      <c r="H50">
        <v>5</v>
      </c>
      <c r="I50">
        <v>540.67999999999995</v>
      </c>
      <c r="J50">
        <v>2703.3999999999996</v>
      </c>
      <c r="K50">
        <v>243.30599999999995</v>
      </c>
      <c r="L50">
        <v>243.30599999999995</v>
      </c>
      <c r="M50">
        <v>3190</v>
      </c>
    </row>
    <row r="51" spans="1:13" x14ac:dyDescent="0.25">
      <c r="A51" t="s">
        <v>378</v>
      </c>
      <c r="B51" s="3">
        <v>46257</v>
      </c>
      <c r="C51" t="s">
        <v>151</v>
      </c>
      <c r="D51" t="s">
        <v>55</v>
      </c>
      <c r="E51" t="s">
        <v>452</v>
      </c>
      <c r="F51" t="s">
        <v>454</v>
      </c>
      <c r="G51" s="4">
        <v>94054900</v>
      </c>
      <c r="H51">
        <v>2</v>
      </c>
      <c r="I51">
        <v>885.59</v>
      </c>
      <c r="J51">
        <v>1771.18</v>
      </c>
      <c r="K51">
        <v>159.40620000000001</v>
      </c>
      <c r="L51">
        <v>159.40620000000001</v>
      </c>
      <c r="M51">
        <v>2090</v>
      </c>
    </row>
    <row r="52" spans="1:13" x14ac:dyDescent="0.25">
      <c r="A52" t="s">
        <v>378</v>
      </c>
      <c r="B52" s="3">
        <v>46257</v>
      </c>
      <c r="C52" t="s">
        <v>151</v>
      </c>
      <c r="D52" t="s">
        <v>66</v>
      </c>
      <c r="E52" t="s">
        <v>452</v>
      </c>
      <c r="F52" t="s">
        <v>454</v>
      </c>
      <c r="G52" s="4">
        <v>94054900</v>
      </c>
      <c r="H52">
        <v>3</v>
      </c>
      <c r="I52">
        <v>367.8</v>
      </c>
      <c r="J52">
        <v>1103.4000000000001</v>
      </c>
      <c r="K52">
        <v>99.306000000000012</v>
      </c>
      <c r="L52">
        <v>99.306000000000012</v>
      </c>
      <c r="M52">
        <v>1302</v>
      </c>
    </row>
    <row r="53" spans="1:13" x14ac:dyDescent="0.25">
      <c r="A53" t="s">
        <v>378</v>
      </c>
      <c r="B53" s="3">
        <v>46257</v>
      </c>
      <c r="C53" t="s">
        <v>151</v>
      </c>
      <c r="D53" t="s">
        <v>68</v>
      </c>
      <c r="E53" t="s">
        <v>452</v>
      </c>
      <c r="F53" t="s">
        <v>454</v>
      </c>
      <c r="G53" s="4">
        <v>94054900</v>
      </c>
      <c r="H53">
        <v>3</v>
      </c>
      <c r="I53">
        <v>438.98</v>
      </c>
      <c r="J53">
        <v>1316.94</v>
      </c>
      <c r="K53">
        <v>118.52460000000001</v>
      </c>
      <c r="L53">
        <v>118.52460000000001</v>
      </c>
      <c r="M53">
        <v>1554</v>
      </c>
    </row>
    <row r="54" spans="1:13" x14ac:dyDescent="0.25">
      <c r="A54" t="s">
        <v>378</v>
      </c>
      <c r="B54" s="3">
        <v>46257</v>
      </c>
      <c r="C54" t="s">
        <v>151</v>
      </c>
      <c r="D54" t="s">
        <v>136</v>
      </c>
      <c r="E54" t="s">
        <v>452</v>
      </c>
      <c r="F54" t="s">
        <v>454</v>
      </c>
      <c r="G54" s="4">
        <v>94054900</v>
      </c>
      <c r="H54">
        <v>2</v>
      </c>
      <c r="I54">
        <v>563.55999999999995</v>
      </c>
      <c r="J54">
        <v>1127.1199999999999</v>
      </c>
      <c r="K54">
        <v>101.44079999999998</v>
      </c>
      <c r="L54">
        <v>101.44079999999998</v>
      </c>
      <c r="M54">
        <v>1330</v>
      </c>
    </row>
    <row r="55" spans="1:13" x14ac:dyDescent="0.25">
      <c r="A55" t="s">
        <v>377</v>
      </c>
      <c r="B55" s="3">
        <v>46257</v>
      </c>
      <c r="C55" t="s">
        <v>31</v>
      </c>
      <c r="D55" t="s">
        <v>32</v>
      </c>
      <c r="E55" t="s">
        <v>452</v>
      </c>
      <c r="F55" t="s">
        <v>454</v>
      </c>
      <c r="G55" s="4">
        <v>94054900</v>
      </c>
      <c r="H55">
        <v>8</v>
      </c>
      <c r="I55">
        <v>542.37</v>
      </c>
      <c r="J55">
        <v>4338.96</v>
      </c>
      <c r="K55">
        <v>390.50639999999999</v>
      </c>
      <c r="L55">
        <v>390.50639999999999</v>
      </c>
      <c r="M55">
        <v>5120</v>
      </c>
    </row>
    <row r="56" spans="1:13" x14ac:dyDescent="0.25">
      <c r="A56" t="s">
        <v>377</v>
      </c>
      <c r="B56" s="3">
        <v>46257</v>
      </c>
      <c r="C56" t="s">
        <v>31</v>
      </c>
      <c r="D56" t="s">
        <v>60</v>
      </c>
      <c r="E56" t="s">
        <v>452</v>
      </c>
      <c r="F56" t="s">
        <v>454</v>
      </c>
      <c r="G56" s="4">
        <v>94054900</v>
      </c>
      <c r="H56">
        <v>4</v>
      </c>
      <c r="I56">
        <v>466.1</v>
      </c>
      <c r="J56">
        <v>1864.4</v>
      </c>
      <c r="K56">
        <v>167.79599999999999</v>
      </c>
      <c r="L56">
        <v>167.79599999999999</v>
      </c>
      <c r="M56">
        <v>2200</v>
      </c>
    </row>
    <row r="57" spans="1:13" x14ac:dyDescent="0.25">
      <c r="A57" t="s">
        <v>369</v>
      </c>
      <c r="B57" s="3">
        <v>46256</v>
      </c>
      <c r="C57" t="s">
        <v>112</v>
      </c>
      <c r="D57" t="s">
        <v>305</v>
      </c>
      <c r="E57" t="s">
        <v>133</v>
      </c>
      <c r="F57" t="s">
        <v>454</v>
      </c>
      <c r="G57" s="4">
        <v>94054090</v>
      </c>
      <c r="H57">
        <v>40</v>
      </c>
      <c r="I57">
        <v>80.510000000000005</v>
      </c>
      <c r="J57">
        <v>3220.4</v>
      </c>
      <c r="K57">
        <v>289.83600000000001</v>
      </c>
      <c r="L57">
        <v>289.83600000000001</v>
      </c>
      <c r="M57">
        <v>3800.1</v>
      </c>
    </row>
    <row r="58" spans="1:13" x14ac:dyDescent="0.25">
      <c r="A58" t="s">
        <v>369</v>
      </c>
      <c r="B58" s="3">
        <v>46256</v>
      </c>
      <c r="C58" t="s">
        <v>112</v>
      </c>
      <c r="D58" t="s">
        <v>199</v>
      </c>
      <c r="E58" t="s">
        <v>133</v>
      </c>
      <c r="F58" t="s">
        <v>454</v>
      </c>
      <c r="G58" s="4">
        <v>94054090</v>
      </c>
      <c r="H58">
        <v>17</v>
      </c>
      <c r="I58">
        <v>275.42</v>
      </c>
      <c r="J58">
        <v>4682.1400000000003</v>
      </c>
      <c r="K58">
        <v>421.39260000000002</v>
      </c>
      <c r="L58">
        <v>421.39260000000002</v>
      </c>
      <c r="M58">
        <v>5524.9</v>
      </c>
    </row>
    <row r="59" spans="1:13" x14ac:dyDescent="0.25">
      <c r="A59" t="s">
        <v>369</v>
      </c>
      <c r="B59" s="3">
        <v>46256</v>
      </c>
      <c r="C59" t="s">
        <v>112</v>
      </c>
      <c r="D59" t="s">
        <v>370</v>
      </c>
      <c r="E59" t="s">
        <v>133</v>
      </c>
      <c r="F59" t="s">
        <v>454</v>
      </c>
      <c r="G59" s="4">
        <v>94054090</v>
      </c>
      <c r="H59">
        <v>25</v>
      </c>
      <c r="I59">
        <v>52.54</v>
      </c>
      <c r="J59">
        <v>1313.5</v>
      </c>
      <c r="K59">
        <v>118.21499999999999</v>
      </c>
      <c r="L59">
        <v>118.21499999999999</v>
      </c>
      <c r="M59">
        <v>1549.9</v>
      </c>
    </row>
    <row r="60" spans="1:13" x14ac:dyDescent="0.25">
      <c r="A60" t="s">
        <v>369</v>
      </c>
      <c r="B60" s="3">
        <v>46256</v>
      </c>
      <c r="C60" t="s">
        <v>112</v>
      </c>
      <c r="D60" t="s">
        <v>371</v>
      </c>
      <c r="E60" t="s">
        <v>133</v>
      </c>
      <c r="F60" t="s">
        <v>454</v>
      </c>
      <c r="G60" s="4">
        <v>94054090</v>
      </c>
      <c r="H60">
        <v>8</v>
      </c>
      <c r="I60">
        <v>133.9</v>
      </c>
      <c r="J60">
        <v>1071.2</v>
      </c>
      <c r="K60">
        <v>96.408000000000001</v>
      </c>
      <c r="L60">
        <v>96.408000000000001</v>
      </c>
      <c r="M60">
        <v>1264</v>
      </c>
    </row>
    <row r="61" spans="1:13" x14ac:dyDescent="0.25">
      <c r="A61" t="s">
        <v>369</v>
      </c>
      <c r="B61" s="3">
        <v>46256</v>
      </c>
      <c r="C61" t="s">
        <v>112</v>
      </c>
      <c r="D61" t="s">
        <v>21</v>
      </c>
      <c r="E61" t="s">
        <v>452</v>
      </c>
      <c r="F61" t="s">
        <v>454</v>
      </c>
      <c r="G61" s="4">
        <v>94054900</v>
      </c>
      <c r="H61">
        <v>3</v>
      </c>
      <c r="I61">
        <v>127.12</v>
      </c>
      <c r="J61">
        <v>381.36</v>
      </c>
      <c r="K61">
        <v>34.322400000000002</v>
      </c>
      <c r="L61">
        <v>34.322400000000002</v>
      </c>
      <c r="M61">
        <v>450</v>
      </c>
    </row>
    <row r="62" spans="1:13" x14ac:dyDescent="0.25">
      <c r="A62" t="s">
        <v>369</v>
      </c>
      <c r="B62" s="3">
        <v>46256</v>
      </c>
      <c r="C62" t="s">
        <v>112</v>
      </c>
      <c r="D62" t="s">
        <v>60</v>
      </c>
      <c r="E62" t="s">
        <v>452</v>
      </c>
      <c r="F62" t="s">
        <v>454</v>
      </c>
      <c r="G62" s="4">
        <v>94054900</v>
      </c>
      <c r="H62">
        <v>1</v>
      </c>
      <c r="I62">
        <v>491.53</v>
      </c>
      <c r="J62">
        <v>491.53</v>
      </c>
      <c r="K62">
        <v>44.237699999999997</v>
      </c>
      <c r="L62">
        <v>44.237699999999997</v>
      </c>
      <c r="M62">
        <v>580</v>
      </c>
    </row>
    <row r="63" spans="1:13" x14ac:dyDescent="0.25">
      <c r="A63" t="s">
        <v>369</v>
      </c>
      <c r="B63" s="3">
        <v>46256</v>
      </c>
      <c r="C63" t="s">
        <v>112</v>
      </c>
      <c r="D63" t="s">
        <v>304</v>
      </c>
      <c r="E63" t="s">
        <v>208</v>
      </c>
      <c r="F63" t="s">
        <v>454</v>
      </c>
      <c r="G63" s="4">
        <v>84145120</v>
      </c>
      <c r="H63">
        <v>1</v>
      </c>
      <c r="I63">
        <v>1398.31</v>
      </c>
      <c r="J63">
        <v>1398.31</v>
      </c>
      <c r="K63">
        <v>125.8479</v>
      </c>
      <c r="L63">
        <v>125.8479</v>
      </c>
      <c r="M63">
        <v>1650</v>
      </c>
    </row>
    <row r="64" spans="1:13" x14ac:dyDescent="0.25">
      <c r="A64" t="s">
        <v>369</v>
      </c>
      <c r="B64" s="3">
        <v>46256</v>
      </c>
      <c r="C64" t="s">
        <v>112</v>
      </c>
      <c r="D64" t="s">
        <v>333</v>
      </c>
      <c r="E64" t="s">
        <v>133</v>
      </c>
      <c r="F64" t="s">
        <v>454</v>
      </c>
      <c r="G64" s="4">
        <v>94054090</v>
      </c>
      <c r="H64">
        <v>9</v>
      </c>
      <c r="I64">
        <v>49.15</v>
      </c>
      <c r="J64">
        <v>442.34999999999997</v>
      </c>
      <c r="K64">
        <v>39.811499999999995</v>
      </c>
      <c r="L64">
        <v>39.811499999999995</v>
      </c>
      <c r="M64">
        <v>522</v>
      </c>
    </row>
    <row r="65" spans="1:13" x14ac:dyDescent="0.25">
      <c r="A65" t="s">
        <v>369</v>
      </c>
      <c r="B65" s="3">
        <v>46256</v>
      </c>
      <c r="C65" t="s">
        <v>112</v>
      </c>
      <c r="D65" t="s">
        <v>334</v>
      </c>
      <c r="E65" t="s">
        <v>133</v>
      </c>
      <c r="F65" t="s">
        <v>454</v>
      </c>
      <c r="G65" s="4">
        <v>94054090</v>
      </c>
      <c r="H65">
        <v>33</v>
      </c>
      <c r="I65">
        <v>49.15</v>
      </c>
      <c r="J65">
        <v>1621.95</v>
      </c>
      <c r="K65">
        <v>145.97550000000001</v>
      </c>
      <c r="L65">
        <v>145.97550000000001</v>
      </c>
      <c r="M65">
        <v>1913.9</v>
      </c>
    </row>
    <row r="66" spans="1:13" x14ac:dyDescent="0.25">
      <c r="A66" t="s">
        <v>369</v>
      </c>
      <c r="B66" s="3">
        <v>46256</v>
      </c>
      <c r="C66" t="s">
        <v>112</v>
      </c>
      <c r="D66" t="s">
        <v>372</v>
      </c>
      <c r="E66" t="s">
        <v>133</v>
      </c>
      <c r="F66" t="s">
        <v>454</v>
      </c>
      <c r="G66" s="4">
        <v>94054090</v>
      </c>
      <c r="H66">
        <v>10</v>
      </c>
      <c r="I66">
        <v>49.15</v>
      </c>
      <c r="J66">
        <v>491.5</v>
      </c>
      <c r="K66">
        <v>44.234999999999999</v>
      </c>
      <c r="L66">
        <v>44.234999999999999</v>
      </c>
      <c r="M66">
        <v>580</v>
      </c>
    </row>
    <row r="67" spans="1:13" x14ac:dyDescent="0.25">
      <c r="A67" t="s">
        <v>369</v>
      </c>
      <c r="B67" s="3">
        <v>46256</v>
      </c>
      <c r="C67" t="s">
        <v>112</v>
      </c>
      <c r="D67" t="s">
        <v>373</v>
      </c>
      <c r="E67" t="s">
        <v>133</v>
      </c>
      <c r="F67" t="s">
        <v>454</v>
      </c>
      <c r="G67" s="4">
        <v>94054090</v>
      </c>
      <c r="H67">
        <v>9</v>
      </c>
      <c r="I67">
        <v>49.15</v>
      </c>
      <c r="J67">
        <v>442.34999999999997</v>
      </c>
      <c r="K67">
        <v>39.811499999999995</v>
      </c>
      <c r="L67">
        <v>39.811499999999995</v>
      </c>
      <c r="M67">
        <v>522</v>
      </c>
    </row>
    <row r="68" spans="1:13" x14ac:dyDescent="0.25">
      <c r="A68" t="s">
        <v>369</v>
      </c>
      <c r="B68" s="3">
        <v>46256</v>
      </c>
      <c r="C68" t="s">
        <v>112</v>
      </c>
      <c r="D68" t="s">
        <v>374</v>
      </c>
      <c r="E68" t="s">
        <v>133</v>
      </c>
      <c r="F68" t="s">
        <v>454</v>
      </c>
      <c r="G68" s="4">
        <v>94054090</v>
      </c>
      <c r="H68">
        <v>10</v>
      </c>
      <c r="I68">
        <v>49.15</v>
      </c>
      <c r="J68">
        <v>491.5</v>
      </c>
      <c r="K68">
        <v>44.234999999999999</v>
      </c>
      <c r="L68">
        <v>44.234999999999999</v>
      </c>
      <c r="M68">
        <v>580</v>
      </c>
    </row>
    <row r="69" spans="1:13" x14ac:dyDescent="0.25">
      <c r="A69" t="s">
        <v>369</v>
      </c>
      <c r="B69" s="3">
        <v>46256</v>
      </c>
      <c r="C69" t="s">
        <v>112</v>
      </c>
      <c r="D69" t="s">
        <v>375</v>
      </c>
      <c r="E69" t="s">
        <v>133</v>
      </c>
      <c r="F69" t="s">
        <v>454</v>
      </c>
      <c r="G69" s="4">
        <v>94054090</v>
      </c>
      <c r="H69">
        <v>13</v>
      </c>
      <c r="I69">
        <v>49.15</v>
      </c>
      <c r="J69">
        <v>638.94999999999993</v>
      </c>
      <c r="K69">
        <v>57.505499999999991</v>
      </c>
      <c r="L69">
        <v>57.505499999999991</v>
      </c>
      <c r="M69">
        <v>754</v>
      </c>
    </row>
    <row r="70" spans="1:13" x14ac:dyDescent="0.25">
      <c r="A70" t="s">
        <v>369</v>
      </c>
      <c r="B70" s="3">
        <v>46256</v>
      </c>
      <c r="C70" t="s">
        <v>112</v>
      </c>
      <c r="D70" t="s">
        <v>376</v>
      </c>
      <c r="E70" t="s">
        <v>133</v>
      </c>
      <c r="F70" t="s">
        <v>454</v>
      </c>
      <c r="G70" s="4">
        <v>94055040</v>
      </c>
      <c r="H70">
        <v>2</v>
      </c>
      <c r="I70">
        <v>809.52</v>
      </c>
      <c r="J70">
        <v>1619.04</v>
      </c>
      <c r="K70">
        <v>145.71359999999999</v>
      </c>
      <c r="L70">
        <v>145.71359999999999</v>
      </c>
      <c r="M70">
        <v>1910.5</v>
      </c>
    </row>
    <row r="71" spans="1:13" x14ac:dyDescent="0.25">
      <c r="A71" t="s">
        <v>369</v>
      </c>
      <c r="B71" s="3">
        <v>46256</v>
      </c>
      <c r="C71" t="s">
        <v>112</v>
      </c>
      <c r="D71" t="s">
        <v>289</v>
      </c>
      <c r="E71" t="s">
        <v>133</v>
      </c>
      <c r="F71" t="s">
        <v>454</v>
      </c>
      <c r="G71" s="4">
        <v>85395000</v>
      </c>
      <c r="H71">
        <v>100</v>
      </c>
      <c r="I71">
        <v>25.68</v>
      </c>
      <c r="J71">
        <v>2568</v>
      </c>
      <c r="K71">
        <v>231.12</v>
      </c>
      <c r="L71">
        <v>231.12</v>
      </c>
      <c r="M71">
        <v>3030.2</v>
      </c>
    </row>
    <row r="72" spans="1:13" x14ac:dyDescent="0.25">
      <c r="A72" t="s">
        <v>367</v>
      </c>
      <c r="B72" s="3">
        <v>46255</v>
      </c>
      <c r="C72" t="s">
        <v>115</v>
      </c>
      <c r="D72" t="s">
        <v>368</v>
      </c>
      <c r="E72" t="s">
        <v>452</v>
      </c>
      <c r="F72" t="s">
        <v>454</v>
      </c>
      <c r="G72" s="4">
        <v>94054900</v>
      </c>
      <c r="H72">
        <v>20</v>
      </c>
      <c r="I72">
        <v>119.49</v>
      </c>
      <c r="J72">
        <v>2389.7999999999997</v>
      </c>
      <c r="K72">
        <v>215.08199999999997</v>
      </c>
      <c r="L72">
        <v>215.08199999999997</v>
      </c>
      <c r="M72">
        <v>2820</v>
      </c>
    </row>
    <row r="73" spans="1:13" x14ac:dyDescent="0.25">
      <c r="A73" t="s">
        <v>366</v>
      </c>
      <c r="B73" s="3">
        <v>46255</v>
      </c>
      <c r="C73" t="s">
        <v>114</v>
      </c>
      <c r="D73" t="s">
        <v>328</v>
      </c>
      <c r="E73" t="s">
        <v>452</v>
      </c>
      <c r="F73" t="s">
        <v>454</v>
      </c>
      <c r="G73" s="4">
        <v>94054900</v>
      </c>
      <c r="H73">
        <v>15</v>
      </c>
      <c r="I73">
        <v>119.49</v>
      </c>
      <c r="J73">
        <v>1792.35</v>
      </c>
      <c r="K73">
        <v>161.3115</v>
      </c>
      <c r="L73">
        <v>161.3115</v>
      </c>
      <c r="M73">
        <v>2115</v>
      </c>
    </row>
    <row r="74" spans="1:13" x14ac:dyDescent="0.25">
      <c r="A74" t="s">
        <v>365</v>
      </c>
      <c r="B74" s="3">
        <v>46250</v>
      </c>
      <c r="C74" t="s">
        <v>45</v>
      </c>
      <c r="D74" t="s">
        <v>68</v>
      </c>
      <c r="E74" t="s">
        <v>452</v>
      </c>
      <c r="F74" t="s">
        <v>454</v>
      </c>
      <c r="G74" s="4">
        <v>94054900</v>
      </c>
      <c r="H74">
        <v>2</v>
      </c>
      <c r="I74">
        <v>419.49</v>
      </c>
      <c r="J74">
        <v>838.98</v>
      </c>
      <c r="K74">
        <v>75.508200000000002</v>
      </c>
      <c r="L74">
        <v>75.508200000000002</v>
      </c>
      <c r="M74">
        <v>990</v>
      </c>
    </row>
    <row r="75" spans="1:13" x14ac:dyDescent="0.25">
      <c r="A75" t="s">
        <v>365</v>
      </c>
      <c r="B75" s="3">
        <v>46250</v>
      </c>
      <c r="C75" t="s">
        <v>45</v>
      </c>
      <c r="D75" t="s">
        <v>461</v>
      </c>
      <c r="E75" t="s">
        <v>452</v>
      </c>
      <c r="F75" t="s">
        <v>454</v>
      </c>
      <c r="G75" s="4">
        <v>94054900</v>
      </c>
      <c r="H75">
        <v>1</v>
      </c>
      <c r="I75">
        <v>211.86</v>
      </c>
      <c r="J75">
        <v>211.86</v>
      </c>
      <c r="K75">
        <v>19.067399999999999</v>
      </c>
      <c r="L75">
        <v>19.067399999999999</v>
      </c>
      <c r="M75">
        <v>250</v>
      </c>
    </row>
    <row r="76" spans="1:13" x14ac:dyDescent="0.25">
      <c r="A76" t="s">
        <v>363</v>
      </c>
      <c r="B76" s="3">
        <v>46250</v>
      </c>
      <c r="C76" t="s">
        <v>84</v>
      </c>
      <c r="D76" t="s">
        <v>289</v>
      </c>
      <c r="E76" t="s">
        <v>452</v>
      </c>
      <c r="F76" t="s">
        <v>454</v>
      </c>
      <c r="G76" s="4">
        <v>85395000</v>
      </c>
      <c r="H76">
        <v>2</v>
      </c>
      <c r="I76">
        <v>27.97</v>
      </c>
      <c r="J76">
        <v>55.94</v>
      </c>
      <c r="K76">
        <v>5.0345999999999993</v>
      </c>
      <c r="L76">
        <v>5.0345999999999993</v>
      </c>
      <c r="M76">
        <v>66</v>
      </c>
    </row>
    <row r="77" spans="1:13" x14ac:dyDescent="0.25">
      <c r="A77" t="s">
        <v>363</v>
      </c>
      <c r="B77" s="3">
        <v>46250</v>
      </c>
      <c r="C77" t="s">
        <v>84</v>
      </c>
      <c r="D77" s="5" t="s">
        <v>291</v>
      </c>
      <c r="E77" t="s">
        <v>452</v>
      </c>
      <c r="F77" t="s">
        <v>454</v>
      </c>
      <c r="G77" s="4">
        <v>85395000</v>
      </c>
      <c r="H77">
        <v>1</v>
      </c>
      <c r="I77">
        <v>27.97</v>
      </c>
      <c r="J77">
        <v>27.97</v>
      </c>
      <c r="K77">
        <v>2.5172999999999996</v>
      </c>
      <c r="L77">
        <v>2.5172999999999996</v>
      </c>
      <c r="M77">
        <v>33</v>
      </c>
    </row>
    <row r="78" spans="1:13" x14ac:dyDescent="0.25">
      <c r="A78" t="s">
        <v>363</v>
      </c>
      <c r="B78" s="3">
        <v>46250</v>
      </c>
      <c r="C78" t="s">
        <v>84</v>
      </c>
      <c r="D78" s="5" t="s">
        <v>357</v>
      </c>
      <c r="E78" t="s">
        <v>133</v>
      </c>
      <c r="F78" t="s">
        <v>454</v>
      </c>
      <c r="G78" s="4">
        <v>94054090</v>
      </c>
      <c r="H78">
        <v>1</v>
      </c>
      <c r="I78">
        <v>148.30000000000001</v>
      </c>
      <c r="J78">
        <v>148.30000000000001</v>
      </c>
      <c r="K78">
        <v>13.347000000000001</v>
      </c>
      <c r="L78">
        <v>13.347000000000001</v>
      </c>
      <c r="M78">
        <v>175</v>
      </c>
    </row>
    <row r="79" spans="1:13" x14ac:dyDescent="0.25">
      <c r="A79" t="s">
        <v>363</v>
      </c>
      <c r="B79" s="3">
        <v>46250</v>
      </c>
      <c r="C79" t="s">
        <v>84</v>
      </c>
      <c r="D79" t="s">
        <v>304</v>
      </c>
      <c r="E79" t="s">
        <v>208</v>
      </c>
      <c r="F79" t="s">
        <v>453</v>
      </c>
      <c r="G79" s="4">
        <v>84145120</v>
      </c>
      <c r="H79">
        <v>1</v>
      </c>
      <c r="I79">
        <v>1398.31</v>
      </c>
      <c r="J79">
        <v>1398.31</v>
      </c>
      <c r="K79">
        <v>125.8479</v>
      </c>
      <c r="L79">
        <v>125.8479</v>
      </c>
      <c r="M79">
        <v>1650</v>
      </c>
    </row>
    <row r="80" spans="1:13" x14ac:dyDescent="0.25">
      <c r="A80" t="s">
        <v>363</v>
      </c>
      <c r="B80" s="3">
        <v>46250</v>
      </c>
      <c r="C80" t="s">
        <v>84</v>
      </c>
      <c r="D80" s="5" t="s">
        <v>390</v>
      </c>
      <c r="E80" t="s">
        <v>133</v>
      </c>
      <c r="F80" t="s">
        <v>454</v>
      </c>
      <c r="G80" s="4">
        <v>94055040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363</v>
      </c>
      <c r="B81" s="3">
        <v>46250</v>
      </c>
      <c r="C81" t="s">
        <v>84</v>
      </c>
      <c r="D81" s="5" t="s">
        <v>462</v>
      </c>
      <c r="E81" t="s">
        <v>456</v>
      </c>
      <c r="F81" t="s">
        <v>457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363</v>
      </c>
      <c r="B82" s="3">
        <v>46250</v>
      </c>
      <c r="C82" t="s">
        <v>84</v>
      </c>
      <c r="D82" s="5" t="s">
        <v>244</v>
      </c>
      <c r="E82" t="s">
        <v>133</v>
      </c>
      <c r="F82" t="s">
        <v>454</v>
      </c>
      <c r="G82" s="4">
        <v>94054090</v>
      </c>
      <c r="H82">
        <v>2</v>
      </c>
      <c r="I82">
        <v>97.46</v>
      </c>
      <c r="J82">
        <v>194.92</v>
      </c>
      <c r="K82">
        <v>17.5428</v>
      </c>
      <c r="L82">
        <v>17.5428</v>
      </c>
      <c r="M82">
        <v>230</v>
      </c>
    </row>
    <row r="83" spans="1:13" x14ac:dyDescent="0.25">
      <c r="A83" t="s">
        <v>363</v>
      </c>
      <c r="B83" s="3">
        <v>46250</v>
      </c>
      <c r="C83" t="s">
        <v>84</v>
      </c>
      <c r="D83" t="s">
        <v>364</v>
      </c>
      <c r="E83" t="s">
        <v>133</v>
      </c>
      <c r="F83" t="s">
        <v>454</v>
      </c>
      <c r="G83" s="4">
        <v>94054090</v>
      </c>
      <c r="H83">
        <v>2</v>
      </c>
      <c r="I83">
        <v>110.17</v>
      </c>
      <c r="J83">
        <v>220.34</v>
      </c>
      <c r="K83">
        <v>19.8306</v>
      </c>
      <c r="L83">
        <v>19.8306</v>
      </c>
      <c r="M83">
        <v>260</v>
      </c>
    </row>
    <row r="84" spans="1:13" x14ac:dyDescent="0.25">
      <c r="A84" t="s">
        <v>363</v>
      </c>
      <c r="B84" s="3">
        <v>46250</v>
      </c>
      <c r="C84" t="s">
        <v>84</v>
      </c>
      <c r="D84" s="5" t="s">
        <v>207</v>
      </c>
      <c r="E84" t="s">
        <v>208</v>
      </c>
      <c r="F84" t="s">
        <v>453</v>
      </c>
      <c r="G84" s="4">
        <v>84145120</v>
      </c>
      <c r="H84">
        <v>1</v>
      </c>
      <c r="I84">
        <v>1440.6780000000001</v>
      </c>
      <c r="J84">
        <v>1440.6780000000001</v>
      </c>
      <c r="K84">
        <v>129.66102000000001</v>
      </c>
      <c r="L84">
        <v>129.66102000000001</v>
      </c>
      <c r="M84">
        <v>1700</v>
      </c>
    </row>
    <row r="85" spans="1:13" x14ac:dyDescent="0.25">
      <c r="A85" t="s">
        <v>362</v>
      </c>
      <c r="B85" s="3">
        <v>46247</v>
      </c>
      <c r="C85" t="s">
        <v>101</v>
      </c>
      <c r="D85" t="s">
        <v>305</v>
      </c>
      <c r="E85" t="s">
        <v>133</v>
      </c>
      <c r="F85" t="s">
        <v>454</v>
      </c>
      <c r="G85" s="4">
        <v>94054090</v>
      </c>
      <c r="H85" s="4">
        <v>24</v>
      </c>
      <c r="I85" s="4">
        <v>88.98</v>
      </c>
      <c r="J85">
        <v>2135.52</v>
      </c>
      <c r="K85">
        <v>192.1968</v>
      </c>
      <c r="L85">
        <v>192.1968</v>
      </c>
      <c r="M85">
        <v>2519.9</v>
      </c>
    </row>
    <row r="86" spans="1:13" x14ac:dyDescent="0.25">
      <c r="A86" t="s">
        <v>362</v>
      </c>
      <c r="B86" s="3">
        <v>46247</v>
      </c>
      <c r="C86" t="s">
        <v>101</v>
      </c>
      <c r="D86" t="s">
        <v>289</v>
      </c>
      <c r="E86" t="s">
        <v>133</v>
      </c>
      <c r="F86" t="s">
        <v>454</v>
      </c>
      <c r="G86" s="4">
        <v>85395000</v>
      </c>
      <c r="H86" s="4">
        <v>25</v>
      </c>
      <c r="I86" s="4">
        <v>27.97</v>
      </c>
      <c r="J86">
        <v>699.25</v>
      </c>
      <c r="K86">
        <v>62.932499999999997</v>
      </c>
      <c r="L86">
        <v>62.932499999999997</v>
      </c>
      <c r="M86">
        <v>825.1</v>
      </c>
    </row>
    <row r="87" spans="1:13" x14ac:dyDescent="0.25">
      <c r="A87" t="s">
        <v>362</v>
      </c>
      <c r="B87" s="3">
        <v>46247</v>
      </c>
      <c r="C87" t="s">
        <v>101</v>
      </c>
      <c r="D87" t="s">
        <v>315</v>
      </c>
      <c r="E87" t="s">
        <v>133</v>
      </c>
      <c r="F87" t="s">
        <v>454</v>
      </c>
      <c r="G87" s="4">
        <v>94054090</v>
      </c>
      <c r="H87" s="4">
        <v>15</v>
      </c>
      <c r="I87" s="4">
        <v>114.41</v>
      </c>
      <c r="J87">
        <v>1716.1499999999999</v>
      </c>
      <c r="K87">
        <v>154.45349999999999</v>
      </c>
      <c r="L87">
        <v>154.45349999999999</v>
      </c>
      <c r="M87">
        <v>2025.1</v>
      </c>
    </row>
    <row r="88" spans="1:13" x14ac:dyDescent="0.25">
      <c r="A88" t="s">
        <v>362</v>
      </c>
      <c r="B88" s="3">
        <v>46247</v>
      </c>
      <c r="C88" t="s">
        <v>101</v>
      </c>
      <c r="D88" t="s">
        <v>357</v>
      </c>
      <c r="E88" t="s">
        <v>133</v>
      </c>
      <c r="F88" t="s">
        <v>454</v>
      </c>
      <c r="G88" s="4">
        <v>94054090</v>
      </c>
      <c r="H88" s="4">
        <v>5</v>
      </c>
      <c r="I88" s="4">
        <v>139.83000000000001</v>
      </c>
      <c r="J88">
        <v>699.15000000000009</v>
      </c>
      <c r="K88">
        <v>62.923500000000004</v>
      </c>
      <c r="L88">
        <v>62.923500000000004</v>
      </c>
      <c r="M88">
        <v>825</v>
      </c>
    </row>
    <row r="89" spans="1:13" x14ac:dyDescent="0.25">
      <c r="A89" t="s">
        <v>362</v>
      </c>
      <c r="B89" s="3">
        <v>46247</v>
      </c>
      <c r="C89" t="s">
        <v>101</v>
      </c>
      <c r="D89" t="s">
        <v>318</v>
      </c>
      <c r="E89" t="s">
        <v>133</v>
      </c>
      <c r="F89" t="s">
        <v>454</v>
      </c>
      <c r="G89" s="4">
        <v>94054090</v>
      </c>
      <c r="H89" s="4">
        <v>2</v>
      </c>
      <c r="I89" s="4">
        <v>364.41</v>
      </c>
      <c r="J89">
        <v>728.82</v>
      </c>
      <c r="K89">
        <v>65.593800000000002</v>
      </c>
      <c r="L89">
        <v>65.593800000000002</v>
      </c>
      <c r="M89">
        <v>860</v>
      </c>
    </row>
    <row r="90" spans="1:13" x14ac:dyDescent="0.25">
      <c r="A90" t="s">
        <v>362</v>
      </c>
      <c r="B90" s="3">
        <v>46247</v>
      </c>
      <c r="C90" t="s">
        <v>101</v>
      </c>
      <c r="D90" t="s">
        <v>290</v>
      </c>
      <c r="E90" t="s">
        <v>133</v>
      </c>
      <c r="F90" t="s">
        <v>454</v>
      </c>
      <c r="G90" s="4">
        <v>94054090</v>
      </c>
      <c r="H90" s="4">
        <v>6</v>
      </c>
      <c r="I90" s="4">
        <v>118.64</v>
      </c>
      <c r="J90">
        <v>711.84</v>
      </c>
      <c r="K90">
        <v>64.065600000000003</v>
      </c>
      <c r="L90">
        <v>64.065600000000003</v>
      </c>
      <c r="M90">
        <v>840</v>
      </c>
    </row>
    <row r="91" spans="1:13" x14ac:dyDescent="0.25">
      <c r="A91" t="s">
        <v>362</v>
      </c>
      <c r="B91" s="3">
        <v>46247</v>
      </c>
      <c r="C91" t="s">
        <v>101</v>
      </c>
      <c r="D91" t="s">
        <v>289</v>
      </c>
      <c r="E91" t="s">
        <v>133</v>
      </c>
      <c r="F91" t="s">
        <v>454</v>
      </c>
      <c r="G91" s="4">
        <v>85395000</v>
      </c>
      <c r="H91" s="4">
        <v>50</v>
      </c>
      <c r="I91" s="4">
        <v>27.97</v>
      </c>
      <c r="J91">
        <v>1398.5</v>
      </c>
      <c r="K91">
        <v>125.86499999999999</v>
      </c>
      <c r="L91">
        <v>125.86499999999999</v>
      </c>
      <c r="M91">
        <v>1650.2</v>
      </c>
    </row>
    <row r="92" spans="1:13" x14ac:dyDescent="0.25">
      <c r="A92" t="s">
        <v>362</v>
      </c>
      <c r="B92" s="3">
        <v>46247</v>
      </c>
      <c r="C92" t="s">
        <v>101</v>
      </c>
      <c r="D92" t="s">
        <v>463</v>
      </c>
      <c r="E92" t="s">
        <v>208</v>
      </c>
      <c r="F92" t="s">
        <v>454</v>
      </c>
      <c r="G92" s="4">
        <v>85395000</v>
      </c>
      <c r="H92" s="4">
        <v>25</v>
      </c>
      <c r="I92" s="4">
        <v>131.36000000000001</v>
      </c>
      <c r="J92">
        <v>3284.0000000000005</v>
      </c>
      <c r="K92">
        <v>295.56</v>
      </c>
      <c r="L92">
        <v>295.56</v>
      </c>
      <c r="M92">
        <v>3875.1</v>
      </c>
    </row>
    <row r="93" spans="1:13" x14ac:dyDescent="0.25">
      <c r="A93" t="s">
        <v>360</v>
      </c>
      <c r="B93" s="3">
        <v>46247</v>
      </c>
      <c r="C93" t="s">
        <v>79</v>
      </c>
      <c r="D93" t="s">
        <v>244</v>
      </c>
      <c r="E93" t="s">
        <v>133</v>
      </c>
      <c r="F93" t="s">
        <v>454</v>
      </c>
      <c r="G93" s="4">
        <v>94054090</v>
      </c>
      <c r="H93">
        <v>9</v>
      </c>
      <c r="I93">
        <v>93.22</v>
      </c>
      <c r="J93">
        <v>838.98</v>
      </c>
      <c r="K93">
        <v>75.508200000000002</v>
      </c>
      <c r="L93">
        <v>75.508200000000002</v>
      </c>
      <c r="M93">
        <v>990</v>
      </c>
    </row>
    <row r="94" spans="1:13" x14ac:dyDescent="0.25">
      <c r="A94" t="s">
        <v>360</v>
      </c>
      <c r="B94" s="3">
        <v>46247</v>
      </c>
      <c r="C94" t="s">
        <v>79</v>
      </c>
      <c r="D94" t="s">
        <v>290</v>
      </c>
      <c r="E94" t="s">
        <v>133</v>
      </c>
      <c r="F94" t="s">
        <v>454</v>
      </c>
      <c r="G94" s="4">
        <v>94054090</v>
      </c>
      <c r="H94">
        <v>6</v>
      </c>
      <c r="I94">
        <v>110.17</v>
      </c>
      <c r="J94">
        <v>661.02</v>
      </c>
      <c r="K94">
        <v>59.491799999999998</v>
      </c>
      <c r="L94">
        <v>59.491799999999998</v>
      </c>
      <c r="M94">
        <v>780</v>
      </c>
    </row>
    <row r="95" spans="1:13" x14ac:dyDescent="0.25">
      <c r="A95" t="s">
        <v>360</v>
      </c>
      <c r="B95" s="3">
        <v>46247</v>
      </c>
      <c r="C95" t="s">
        <v>79</v>
      </c>
      <c r="D95" t="s">
        <v>361</v>
      </c>
      <c r="E95" t="s">
        <v>133</v>
      </c>
      <c r="F95" t="s">
        <v>454</v>
      </c>
      <c r="G95" s="4">
        <v>94054090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356</v>
      </c>
      <c r="B96" s="3">
        <v>46247</v>
      </c>
      <c r="C96" t="s">
        <v>86</v>
      </c>
      <c r="D96" t="s">
        <v>207</v>
      </c>
      <c r="E96" t="s">
        <v>208</v>
      </c>
      <c r="F96" t="s">
        <v>453</v>
      </c>
      <c r="G96" s="4">
        <v>84145120</v>
      </c>
      <c r="H96" s="4">
        <v>2</v>
      </c>
      <c r="I96" s="4">
        <v>1398.31</v>
      </c>
      <c r="J96">
        <v>2796.62</v>
      </c>
      <c r="K96">
        <v>251.69579999999999</v>
      </c>
      <c r="L96">
        <v>251.69579999999999</v>
      </c>
      <c r="M96">
        <v>3300</v>
      </c>
    </row>
    <row r="97" spans="1:13" x14ac:dyDescent="0.25">
      <c r="A97" t="s">
        <v>356</v>
      </c>
      <c r="B97" s="3">
        <v>46247</v>
      </c>
      <c r="C97" t="s">
        <v>86</v>
      </c>
      <c r="D97" t="s">
        <v>289</v>
      </c>
      <c r="E97" t="s">
        <v>133</v>
      </c>
      <c r="F97" t="s">
        <v>454</v>
      </c>
      <c r="G97" s="4">
        <v>85395000</v>
      </c>
      <c r="H97" s="4">
        <v>6</v>
      </c>
      <c r="I97" s="4">
        <v>27.97</v>
      </c>
      <c r="J97">
        <v>167.82</v>
      </c>
      <c r="K97">
        <v>15.1038</v>
      </c>
      <c r="L97">
        <v>15.1038</v>
      </c>
      <c r="M97">
        <v>198</v>
      </c>
    </row>
    <row r="98" spans="1:13" x14ac:dyDescent="0.25">
      <c r="A98" t="s">
        <v>356</v>
      </c>
      <c r="B98" s="3">
        <v>46247</v>
      </c>
      <c r="C98" t="s">
        <v>86</v>
      </c>
      <c r="D98" t="s">
        <v>289</v>
      </c>
      <c r="E98" t="s">
        <v>133</v>
      </c>
      <c r="F98" t="s">
        <v>454</v>
      </c>
      <c r="G98" s="4">
        <v>85395000</v>
      </c>
      <c r="H98" s="4">
        <v>5</v>
      </c>
      <c r="I98" s="4">
        <v>28.14</v>
      </c>
      <c r="J98">
        <v>140.69999999999999</v>
      </c>
      <c r="K98">
        <v>12.662999999999998</v>
      </c>
      <c r="L98">
        <v>12.662999999999998</v>
      </c>
      <c r="M98">
        <v>166</v>
      </c>
    </row>
    <row r="99" spans="1:13" x14ac:dyDescent="0.25">
      <c r="A99" t="s">
        <v>356</v>
      </c>
      <c r="B99" s="3">
        <v>46247</v>
      </c>
      <c r="C99" t="s">
        <v>86</v>
      </c>
      <c r="D99" t="s">
        <v>289</v>
      </c>
      <c r="E99" t="s">
        <v>133</v>
      </c>
      <c r="F99" t="s">
        <v>454</v>
      </c>
      <c r="G99" s="4">
        <v>85395000</v>
      </c>
      <c r="H99" s="4">
        <v>14</v>
      </c>
      <c r="I99" s="4">
        <v>27.97</v>
      </c>
      <c r="J99">
        <v>391.58</v>
      </c>
      <c r="K99">
        <v>35.242199999999997</v>
      </c>
      <c r="L99">
        <v>35.242199999999997</v>
      </c>
      <c r="M99">
        <v>462.1</v>
      </c>
    </row>
    <row r="100" spans="1:13" x14ac:dyDescent="0.25">
      <c r="A100" t="s">
        <v>356</v>
      </c>
      <c r="B100" s="3">
        <v>46247</v>
      </c>
      <c r="C100" t="s">
        <v>86</v>
      </c>
      <c r="D100" t="s">
        <v>314</v>
      </c>
      <c r="E100" t="s">
        <v>133</v>
      </c>
      <c r="F100" t="s">
        <v>454</v>
      </c>
      <c r="G100" s="4">
        <v>94054090</v>
      </c>
      <c r="H100" s="4">
        <v>10</v>
      </c>
      <c r="I100" s="4">
        <v>63.56</v>
      </c>
      <c r="J100">
        <v>635.6</v>
      </c>
      <c r="K100">
        <v>57.204000000000001</v>
      </c>
      <c r="L100">
        <v>57.204000000000001</v>
      </c>
      <c r="M100">
        <v>750</v>
      </c>
    </row>
    <row r="101" spans="1:13" x14ac:dyDescent="0.25">
      <c r="A101" t="s">
        <v>356</v>
      </c>
      <c r="B101" s="3">
        <v>46247</v>
      </c>
      <c r="C101" t="s">
        <v>86</v>
      </c>
      <c r="D101" t="s">
        <v>315</v>
      </c>
      <c r="E101" t="s">
        <v>133</v>
      </c>
      <c r="F101" t="s">
        <v>454</v>
      </c>
      <c r="G101" s="4">
        <v>94054090</v>
      </c>
      <c r="H101" s="4">
        <v>10</v>
      </c>
      <c r="I101" s="4">
        <v>114.41</v>
      </c>
      <c r="J101">
        <v>1144.0999999999999</v>
      </c>
      <c r="K101">
        <v>102.96899999999999</v>
      </c>
      <c r="L101">
        <v>102.96899999999999</v>
      </c>
      <c r="M101">
        <v>1350</v>
      </c>
    </row>
    <row r="102" spans="1:13" x14ac:dyDescent="0.25">
      <c r="A102" t="s">
        <v>356</v>
      </c>
      <c r="B102" s="3">
        <v>46247</v>
      </c>
      <c r="C102" t="s">
        <v>86</v>
      </c>
      <c r="D102" t="s">
        <v>357</v>
      </c>
      <c r="E102" t="s">
        <v>133</v>
      </c>
      <c r="F102" t="s">
        <v>454</v>
      </c>
      <c r="G102" s="4">
        <v>94054090</v>
      </c>
      <c r="H102" s="4">
        <v>10</v>
      </c>
      <c r="I102" s="4">
        <v>139.83000000000001</v>
      </c>
      <c r="J102">
        <v>1398.3000000000002</v>
      </c>
      <c r="K102">
        <v>125.84700000000001</v>
      </c>
      <c r="L102">
        <v>125.84700000000001</v>
      </c>
      <c r="M102">
        <v>1650</v>
      </c>
    </row>
    <row r="103" spans="1:13" x14ac:dyDescent="0.25">
      <c r="A103" t="s">
        <v>356</v>
      </c>
      <c r="B103" s="3">
        <v>46247</v>
      </c>
      <c r="C103" t="s">
        <v>86</v>
      </c>
      <c r="D103" t="s">
        <v>339</v>
      </c>
      <c r="E103" t="s">
        <v>133</v>
      </c>
      <c r="F103" t="s">
        <v>454</v>
      </c>
      <c r="G103" s="4">
        <v>94054090</v>
      </c>
      <c r="H103" s="4">
        <v>10</v>
      </c>
      <c r="I103" s="4">
        <v>207.63</v>
      </c>
      <c r="J103">
        <v>2076.3000000000002</v>
      </c>
      <c r="K103">
        <v>186.86700000000002</v>
      </c>
      <c r="L103">
        <v>186.86700000000002</v>
      </c>
      <c r="M103">
        <v>2450</v>
      </c>
    </row>
    <row r="104" spans="1:13" x14ac:dyDescent="0.25">
      <c r="A104" t="s">
        <v>356</v>
      </c>
      <c r="B104" s="3">
        <v>46247</v>
      </c>
      <c r="C104" t="s">
        <v>86</v>
      </c>
      <c r="D104" t="s">
        <v>358</v>
      </c>
      <c r="E104" t="s">
        <v>133</v>
      </c>
      <c r="F104" t="s">
        <v>454</v>
      </c>
      <c r="G104" s="4">
        <v>94054090</v>
      </c>
      <c r="H104" s="4">
        <v>3</v>
      </c>
      <c r="I104" s="4">
        <v>330.51</v>
      </c>
      <c r="J104">
        <v>991.53</v>
      </c>
      <c r="K104">
        <v>89.23769999999999</v>
      </c>
      <c r="L104">
        <v>89.23769999999999</v>
      </c>
      <c r="M104">
        <v>1170</v>
      </c>
    </row>
    <row r="105" spans="1:13" x14ac:dyDescent="0.25">
      <c r="A105" t="s">
        <v>356</v>
      </c>
      <c r="B105" s="3">
        <v>46247</v>
      </c>
      <c r="C105" t="s">
        <v>86</v>
      </c>
      <c r="D105" t="s">
        <v>336</v>
      </c>
      <c r="E105" t="s">
        <v>452</v>
      </c>
      <c r="F105" t="s">
        <v>453</v>
      </c>
      <c r="G105" s="4">
        <v>84145120</v>
      </c>
      <c r="H105" s="4">
        <v>1</v>
      </c>
      <c r="I105" s="4">
        <v>1144.07</v>
      </c>
      <c r="J105">
        <v>1144.07</v>
      </c>
      <c r="K105">
        <v>102.96629999999999</v>
      </c>
      <c r="L105">
        <v>102.96629999999999</v>
      </c>
      <c r="M105">
        <v>1350</v>
      </c>
    </row>
    <row r="106" spans="1:13" x14ac:dyDescent="0.25">
      <c r="A106" t="s">
        <v>356</v>
      </c>
      <c r="B106" s="3">
        <v>46247</v>
      </c>
      <c r="C106" t="s">
        <v>86</v>
      </c>
      <c r="D106" t="s">
        <v>304</v>
      </c>
      <c r="E106" t="s">
        <v>208</v>
      </c>
      <c r="F106" t="s">
        <v>453</v>
      </c>
      <c r="G106" s="4">
        <v>84145120</v>
      </c>
      <c r="H106" s="4">
        <v>1</v>
      </c>
      <c r="I106" s="4">
        <v>1483.05</v>
      </c>
      <c r="J106">
        <v>1483.05</v>
      </c>
      <c r="K106">
        <v>133.47449999999998</v>
      </c>
      <c r="L106">
        <v>133.47449999999998</v>
      </c>
      <c r="M106">
        <v>1750</v>
      </c>
    </row>
    <row r="107" spans="1:13" x14ac:dyDescent="0.25">
      <c r="A107" t="s">
        <v>354</v>
      </c>
      <c r="B107" s="3">
        <v>46247</v>
      </c>
      <c r="C107" t="s">
        <v>355</v>
      </c>
      <c r="D107" t="s">
        <v>289</v>
      </c>
      <c r="E107" t="s">
        <v>133</v>
      </c>
      <c r="F107" t="s">
        <v>454</v>
      </c>
      <c r="G107" s="4">
        <v>85395000</v>
      </c>
      <c r="H107">
        <v>100</v>
      </c>
      <c r="I107">
        <v>26.27</v>
      </c>
      <c r="J107">
        <v>2627</v>
      </c>
      <c r="K107">
        <v>236.42999999999998</v>
      </c>
      <c r="L107">
        <v>236.42999999999998</v>
      </c>
      <c r="M107">
        <v>3099.9</v>
      </c>
    </row>
    <row r="108" spans="1:13" x14ac:dyDescent="0.25">
      <c r="A108" t="s">
        <v>354</v>
      </c>
      <c r="B108" s="3">
        <v>46247</v>
      </c>
      <c r="C108" t="s">
        <v>355</v>
      </c>
      <c r="D108" t="s">
        <v>315</v>
      </c>
      <c r="E108" t="s">
        <v>133</v>
      </c>
      <c r="F108" t="s">
        <v>454</v>
      </c>
      <c r="G108" s="4">
        <v>94054090</v>
      </c>
      <c r="H108">
        <v>20</v>
      </c>
      <c r="I108">
        <v>105.93</v>
      </c>
      <c r="J108">
        <v>2118.6000000000004</v>
      </c>
      <c r="K108">
        <v>190.67400000000004</v>
      </c>
      <c r="L108">
        <v>190.67400000000004</v>
      </c>
      <c r="M108">
        <v>2499.9</v>
      </c>
    </row>
    <row r="109" spans="1:13" x14ac:dyDescent="0.25">
      <c r="A109" t="s">
        <v>354</v>
      </c>
      <c r="B109" s="3">
        <v>46247</v>
      </c>
      <c r="C109" t="s">
        <v>355</v>
      </c>
      <c r="D109" t="s">
        <v>291</v>
      </c>
      <c r="E109" t="s">
        <v>133</v>
      </c>
      <c r="F109" t="s">
        <v>454</v>
      </c>
      <c r="G109" s="4">
        <v>85395000</v>
      </c>
      <c r="H109">
        <v>52</v>
      </c>
      <c r="I109">
        <v>27.12</v>
      </c>
      <c r="J109">
        <v>1410.24</v>
      </c>
      <c r="K109">
        <v>126.9216</v>
      </c>
      <c r="L109">
        <v>126.9216</v>
      </c>
      <c r="M109">
        <v>1664.1</v>
      </c>
    </row>
    <row r="110" spans="1:13" x14ac:dyDescent="0.25">
      <c r="A110" t="s">
        <v>354</v>
      </c>
      <c r="B110" s="3">
        <v>46247</v>
      </c>
      <c r="C110" t="s">
        <v>355</v>
      </c>
      <c r="D110" t="s">
        <v>289</v>
      </c>
      <c r="E110" t="s">
        <v>133</v>
      </c>
      <c r="F110" t="s">
        <v>454</v>
      </c>
      <c r="G110" s="4">
        <v>85395000</v>
      </c>
      <c r="H110">
        <v>9</v>
      </c>
      <c r="I110">
        <v>27.12</v>
      </c>
      <c r="J110">
        <v>244.08</v>
      </c>
      <c r="K110">
        <v>21.967200000000002</v>
      </c>
      <c r="L110">
        <v>21.967200000000002</v>
      </c>
      <c r="M110">
        <v>288</v>
      </c>
    </row>
    <row r="111" spans="1:13" x14ac:dyDescent="0.25">
      <c r="A111" t="s">
        <v>354</v>
      </c>
      <c r="B111" s="3">
        <v>46247</v>
      </c>
      <c r="C111" t="s">
        <v>355</v>
      </c>
      <c r="D111" t="s">
        <v>289</v>
      </c>
      <c r="E111" t="s">
        <v>133</v>
      </c>
      <c r="F111" t="s">
        <v>454</v>
      </c>
      <c r="G111" s="4">
        <v>85395000</v>
      </c>
      <c r="H111">
        <v>39</v>
      </c>
      <c r="I111">
        <v>27.12</v>
      </c>
      <c r="J111">
        <v>1057.68</v>
      </c>
      <c r="K111">
        <v>95.191200000000009</v>
      </c>
      <c r="L111">
        <v>95.191200000000009</v>
      </c>
      <c r="M111">
        <v>1248.0999999999999</v>
      </c>
    </row>
    <row r="112" spans="1:13" x14ac:dyDescent="0.25">
      <c r="A112" t="s">
        <v>350</v>
      </c>
      <c r="B112" s="3">
        <v>46246</v>
      </c>
      <c r="C112" t="s">
        <v>112</v>
      </c>
      <c r="D112" t="s">
        <v>351</v>
      </c>
      <c r="E112" t="s">
        <v>133</v>
      </c>
      <c r="F112" t="s">
        <v>454</v>
      </c>
      <c r="G112" s="4">
        <v>94054090</v>
      </c>
      <c r="H112" s="4">
        <v>10</v>
      </c>
      <c r="I112" s="4">
        <v>118.64</v>
      </c>
      <c r="J112">
        <v>1186.4000000000001</v>
      </c>
      <c r="K112">
        <v>106.77600000000001</v>
      </c>
      <c r="L112">
        <v>106.77600000000001</v>
      </c>
      <c r="M112">
        <v>1400</v>
      </c>
    </row>
    <row r="113" spans="1:13" x14ac:dyDescent="0.25">
      <c r="A113" t="s">
        <v>350</v>
      </c>
      <c r="B113" s="3">
        <v>46246</v>
      </c>
      <c r="C113" t="s">
        <v>112</v>
      </c>
      <c r="D113" t="s">
        <v>289</v>
      </c>
      <c r="E113" t="s">
        <v>133</v>
      </c>
      <c r="F113" t="s">
        <v>454</v>
      </c>
      <c r="G113" s="4">
        <v>85395000</v>
      </c>
      <c r="H113" s="4">
        <v>100</v>
      </c>
      <c r="I113" s="4">
        <v>26.27</v>
      </c>
      <c r="J113">
        <v>2627</v>
      </c>
      <c r="K113">
        <v>236.42999999999998</v>
      </c>
      <c r="L113">
        <v>236.42999999999998</v>
      </c>
      <c r="M113">
        <v>3099.9</v>
      </c>
    </row>
    <row r="114" spans="1:13" x14ac:dyDescent="0.25">
      <c r="A114" t="s">
        <v>350</v>
      </c>
      <c r="B114" s="3">
        <v>46246</v>
      </c>
      <c r="C114" t="s">
        <v>112</v>
      </c>
      <c r="D114" t="s">
        <v>352</v>
      </c>
      <c r="E114" t="s">
        <v>133</v>
      </c>
      <c r="F114" t="s">
        <v>454</v>
      </c>
      <c r="G114" s="4">
        <v>94059900</v>
      </c>
      <c r="H114" s="4">
        <v>6</v>
      </c>
      <c r="I114" s="4">
        <v>1991.52</v>
      </c>
      <c r="J114">
        <v>11949.119999999999</v>
      </c>
      <c r="K114">
        <v>1075.4207999999999</v>
      </c>
      <c r="L114">
        <v>1075.4207999999999</v>
      </c>
      <c r="M114">
        <v>14100</v>
      </c>
    </row>
    <row r="115" spans="1:13" x14ac:dyDescent="0.25">
      <c r="A115" t="s">
        <v>350</v>
      </c>
      <c r="B115" s="3">
        <v>46246</v>
      </c>
      <c r="C115" t="s">
        <v>112</v>
      </c>
      <c r="D115" t="s">
        <v>352</v>
      </c>
      <c r="E115" t="s">
        <v>133</v>
      </c>
      <c r="F115" t="s">
        <v>454</v>
      </c>
      <c r="G115" s="4">
        <v>94059900</v>
      </c>
      <c r="H115" s="4">
        <v>4</v>
      </c>
      <c r="I115" s="4">
        <v>1991.52</v>
      </c>
      <c r="J115">
        <v>7966.08</v>
      </c>
      <c r="K115">
        <v>716.94719999999995</v>
      </c>
      <c r="L115">
        <v>716.94719999999995</v>
      </c>
      <c r="M115">
        <v>9400</v>
      </c>
    </row>
    <row r="116" spans="1:13" x14ac:dyDescent="0.25">
      <c r="A116" t="s">
        <v>350</v>
      </c>
      <c r="B116" s="3">
        <v>46246</v>
      </c>
      <c r="C116" t="s">
        <v>112</v>
      </c>
      <c r="D116" t="s">
        <v>303</v>
      </c>
      <c r="E116" t="s">
        <v>452</v>
      </c>
      <c r="F116" t="s">
        <v>453</v>
      </c>
      <c r="G116" s="4">
        <v>84145120</v>
      </c>
      <c r="H116" s="4">
        <v>4</v>
      </c>
      <c r="I116" s="4">
        <v>1144.06</v>
      </c>
      <c r="J116">
        <v>4576.24</v>
      </c>
      <c r="K116">
        <v>411.86159999999995</v>
      </c>
      <c r="L116">
        <v>411.86159999999995</v>
      </c>
      <c r="M116">
        <v>5400</v>
      </c>
    </row>
    <row r="117" spans="1:13" x14ac:dyDescent="0.25">
      <c r="A117" t="s">
        <v>350</v>
      </c>
      <c r="B117" s="3">
        <v>46246</v>
      </c>
      <c r="C117" t="s">
        <v>112</v>
      </c>
      <c r="D117" t="s">
        <v>353</v>
      </c>
      <c r="E117" t="s">
        <v>133</v>
      </c>
      <c r="F117" t="s">
        <v>454</v>
      </c>
      <c r="G117" s="4">
        <v>94054090</v>
      </c>
      <c r="H117" s="4">
        <v>5</v>
      </c>
      <c r="I117" s="4">
        <v>355.93</v>
      </c>
      <c r="J117">
        <v>1779.65</v>
      </c>
      <c r="K117">
        <v>160.16849999999999</v>
      </c>
      <c r="L117">
        <v>160.16849999999999</v>
      </c>
      <c r="M117">
        <v>2100</v>
      </c>
    </row>
    <row r="118" spans="1:13" x14ac:dyDescent="0.25">
      <c r="A118" t="s">
        <v>350</v>
      </c>
      <c r="B118" s="3">
        <v>46246</v>
      </c>
      <c r="C118" t="s">
        <v>112</v>
      </c>
      <c r="D118" t="s">
        <v>352</v>
      </c>
      <c r="E118" t="s">
        <v>133</v>
      </c>
      <c r="F118" t="s">
        <v>454</v>
      </c>
      <c r="G118" s="4">
        <v>94059900</v>
      </c>
      <c r="H118" s="4">
        <v>6</v>
      </c>
      <c r="I118" s="4">
        <v>1991.52</v>
      </c>
      <c r="J118">
        <v>11949.119999999999</v>
      </c>
      <c r="K118">
        <v>1075.4207999999999</v>
      </c>
      <c r="L118">
        <v>1075.4207999999999</v>
      </c>
      <c r="M118">
        <v>14100</v>
      </c>
    </row>
    <row r="119" spans="1:13" x14ac:dyDescent="0.25">
      <c r="A119" t="s">
        <v>349</v>
      </c>
      <c r="B119" s="3">
        <v>46242</v>
      </c>
      <c r="C119" t="s">
        <v>103</v>
      </c>
      <c r="D119" t="s">
        <v>305</v>
      </c>
      <c r="E119" t="s">
        <v>133</v>
      </c>
      <c r="F119" t="s">
        <v>454</v>
      </c>
      <c r="G119" s="4">
        <v>94054090</v>
      </c>
      <c r="H119" s="4">
        <v>10</v>
      </c>
      <c r="I119" s="4">
        <v>88.98</v>
      </c>
      <c r="J119">
        <v>889.80000000000007</v>
      </c>
      <c r="K119">
        <v>80.082000000000008</v>
      </c>
      <c r="L119">
        <v>80.082000000000008</v>
      </c>
      <c r="M119">
        <v>1050</v>
      </c>
    </row>
    <row r="120" spans="1:13" x14ac:dyDescent="0.25">
      <c r="A120" t="s">
        <v>349</v>
      </c>
      <c r="B120" s="3">
        <v>46242</v>
      </c>
      <c r="C120" t="s">
        <v>103</v>
      </c>
      <c r="D120" t="s">
        <v>244</v>
      </c>
      <c r="E120" t="s">
        <v>133</v>
      </c>
      <c r="F120" t="s">
        <v>454</v>
      </c>
      <c r="G120" s="4">
        <v>94054090</v>
      </c>
      <c r="H120" s="4">
        <v>6</v>
      </c>
      <c r="I120" s="4">
        <v>97.46</v>
      </c>
      <c r="J120">
        <v>584.76</v>
      </c>
      <c r="K120">
        <v>52.628399999999999</v>
      </c>
      <c r="L120">
        <v>52.628399999999999</v>
      </c>
      <c r="M120">
        <v>690</v>
      </c>
    </row>
    <row r="121" spans="1:13" x14ac:dyDescent="0.25">
      <c r="A121" t="s">
        <v>349</v>
      </c>
      <c r="B121" s="3">
        <v>46242</v>
      </c>
      <c r="C121" t="s">
        <v>103</v>
      </c>
      <c r="D121" t="s">
        <v>207</v>
      </c>
      <c r="E121" t="s">
        <v>208</v>
      </c>
      <c r="F121" t="s">
        <v>453</v>
      </c>
      <c r="G121" s="4">
        <v>84145120</v>
      </c>
      <c r="H121" s="4">
        <v>1</v>
      </c>
      <c r="I121" s="4">
        <v>1398.31</v>
      </c>
      <c r="J121">
        <v>1398.31</v>
      </c>
      <c r="K121">
        <v>125.8479</v>
      </c>
      <c r="L121">
        <v>125.8479</v>
      </c>
      <c r="M121">
        <v>1650</v>
      </c>
    </row>
    <row r="122" spans="1:13" x14ac:dyDescent="0.25">
      <c r="A122" t="s">
        <v>347</v>
      </c>
      <c r="B122" s="3">
        <v>46242</v>
      </c>
      <c r="C122" t="s">
        <v>307</v>
      </c>
      <c r="D122" t="s">
        <v>193</v>
      </c>
      <c r="E122" t="s">
        <v>133</v>
      </c>
      <c r="F122" t="s">
        <v>454</v>
      </c>
      <c r="G122" s="4">
        <v>94054090</v>
      </c>
      <c r="H122" s="4">
        <v>20</v>
      </c>
      <c r="I122" s="4">
        <v>88.98</v>
      </c>
      <c r="J122">
        <v>1779.6000000000001</v>
      </c>
      <c r="K122">
        <v>160.16400000000002</v>
      </c>
      <c r="L122">
        <v>160.16400000000002</v>
      </c>
      <c r="M122">
        <v>2099.9</v>
      </c>
    </row>
    <row r="123" spans="1:13" x14ac:dyDescent="0.25">
      <c r="A123" t="s">
        <v>347</v>
      </c>
      <c r="B123" s="3">
        <v>46242</v>
      </c>
      <c r="C123" t="s">
        <v>307</v>
      </c>
      <c r="D123" t="s">
        <v>464</v>
      </c>
      <c r="E123" t="s">
        <v>133</v>
      </c>
      <c r="F123" t="s">
        <v>454</v>
      </c>
      <c r="G123" s="4">
        <v>94054090</v>
      </c>
      <c r="H123" s="4">
        <v>1</v>
      </c>
      <c r="I123" s="4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347</v>
      </c>
      <c r="B124" s="3">
        <v>46242</v>
      </c>
      <c r="C124" t="s">
        <v>307</v>
      </c>
      <c r="D124" t="s">
        <v>465</v>
      </c>
      <c r="E124" t="s">
        <v>133</v>
      </c>
      <c r="F124" t="s">
        <v>454</v>
      </c>
      <c r="G124" s="4">
        <v>94054090</v>
      </c>
      <c r="H124" s="4">
        <v>1</v>
      </c>
      <c r="I124" s="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347</v>
      </c>
      <c r="B125" s="3">
        <v>46242</v>
      </c>
      <c r="C125" t="s">
        <v>307</v>
      </c>
      <c r="D125" t="s">
        <v>466</v>
      </c>
      <c r="E125" t="s">
        <v>133</v>
      </c>
      <c r="F125" t="s">
        <v>454</v>
      </c>
      <c r="G125" s="4">
        <v>94054090</v>
      </c>
      <c r="H125" s="4">
        <v>1</v>
      </c>
      <c r="I125" s="4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t="s">
        <v>347</v>
      </c>
      <c r="B126" s="3">
        <v>46242</v>
      </c>
      <c r="C126" t="s">
        <v>307</v>
      </c>
      <c r="D126" t="s">
        <v>348</v>
      </c>
      <c r="E126" t="s">
        <v>133</v>
      </c>
      <c r="F126" t="s">
        <v>454</v>
      </c>
      <c r="G126" s="4">
        <v>85395000</v>
      </c>
      <c r="H126" s="4">
        <v>1</v>
      </c>
      <c r="I126" s="4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t="s">
        <v>341</v>
      </c>
      <c r="B127" s="3">
        <v>46241</v>
      </c>
      <c r="C127" t="s">
        <v>320</v>
      </c>
      <c r="D127" t="s">
        <v>342</v>
      </c>
      <c r="E127" t="s">
        <v>343</v>
      </c>
      <c r="F127" t="s">
        <v>454</v>
      </c>
      <c r="G127" s="4">
        <v>94054090</v>
      </c>
      <c r="H127" s="4">
        <v>50</v>
      </c>
      <c r="I127" s="4">
        <v>72.03</v>
      </c>
      <c r="J127">
        <v>3601.5</v>
      </c>
      <c r="K127">
        <v>324.13499999999999</v>
      </c>
      <c r="L127">
        <v>324.13499999999999</v>
      </c>
      <c r="M127">
        <v>4249.8</v>
      </c>
    </row>
    <row r="128" spans="1:13" x14ac:dyDescent="0.25">
      <c r="A128" t="s">
        <v>341</v>
      </c>
      <c r="B128" s="3">
        <v>46241</v>
      </c>
      <c r="C128" t="s">
        <v>320</v>
      </c>
      <c r="D128" t="s">
        <v>344</v>
      </c>
      <c r="E128" t="s">
        <v>343</v>
      </c>
      <c r="F128" t="s">
        <v>454</v>
      </c>
      <c r="G128" s="4">
        <v>94054090</v>
      </c>
      <c r="H128" s="4">
        <v>50</v>
      </c>
      <c r="I128" s="4">
        <v>72.03</v>
      </c>
      <c r="J128">
        <v>3601.5</v>
      </c>
      <c r="K128">
        <v>324.13499999999999</v>
      </c>
      <c r="L128">
        <v>324.13499999999999</v>
      </c>
      <c r="M128">
        <v>4249.8</v>
      </c>
    </row>
    <row r="129" spans="1:13" x14ac:dyDescent="0.25">
      <c r="A129" t="s">
        <v>341</v>
      </c>
      <c r="B129" s="3">
        <v>46241</v>
      </c>
      <c r="C129" t="s">
        <v>320</v>
      </c>
      <c r="D129" t="s">
        <v>345</v>
      </c>
      <c r="E129" t="s">
        <v>343</v>
      </c>
      <c r="F129" t="s">
        <v>454</v>
      </c>
      <c r="G129" s="4">
        <v>94054090</v>
      </c>
      <c r="H129" s="4">
        <v>50</v>
      </c>
      <c r="I129" s="4">
        <v>72.03</v>
      </c>
      <c r="J129">
        <v>3601.5</v>
      </c>
      <c r="K129">
        <v>324.13499999999999</v>
      </c>
      <c r="L129">
        <v>324.13499999999999</v>
      </c>
      <c r="M129">
        <v>4249.8</v>
      </c>
    </row>
    <row r="130" spans="1:13" x14ac:dyDescent="0.25">
      <c r="A130" t="s">
        <v>341</v>
      </c>
      <c r="B130" s="3">
        <v>46241</v>
      </c>
      <c r="C130" t="s">
        <v>320</v>
      </c>
      <c r="D130" t="s">
        <v>322</v>
      </c>
      <c r="E130" t="s">
        <v>452</v>
      </c>
      <c r="F130" t="s">
        <v>454</v>
      </c>
      <c r="G130" s="4">
        <v>94054900</v>
      </c>
      <c r="H130" s="4">
        <v>200</v>
      </c>
      <c r="I130" s="4">
        <v>59.32</v>
      </c>
      <c r="J130">
        <v>11864</v>
      </c>
      <c r="K130">
        <v>1067.76</v>
      </c>
      <c r="L130">
        <v>1067.76</v>
      </c>
      <c r="M130">
        <v>13999.5</v>
      </c>
    </row>
    <row r="131" spans="1:13" x14ac:dyDescent="0.25">
      <c r="A131" t="s">
        <v>341</v>
      </c>
      <c r="B131" s="3">
        <v>46241</v>
      </c>
      <c r="C131" t="s">
        <v>320</v>
      </c>
      <c r="D131" t="s">
        <v>346</v>
      </c>
      <c r="E131" t="s">
        <v>343</v>
      </c>
      <c r="F131" t="s">
        <v>454</v>
      </c>
      <c r="G131" s="4">
        <v>94054090</v>
      </c>
      <c r="H131" s="4">
        <v>50</v>
      </c>
      <c r="I131" s="4">
        <v>72.03</v>
      </c>
      <c r="J131">
        <v>3601.5</v>
      </c>
      <c r="K131">
        <v>324.13499999999999</v>
      </c>
      <c r="L131">
        <v>324.13499999999999</v>
      </c>
      <c r="M131">
        <v>4249.8</v>
      </c>
    </row>
    <row r="132" spans="1:13" x14ac:dyDescent="0.25">
      <c r="A132" t="s">
        <v>337</v>
      </c>
      <c r="B132" s="3">
        <v>46239</v>
      </c>
      <c r="C132" t="s">
        <v>338</v>
      </c>
      <c r="D132" t="s">
        <v>339</v>
      </c>
      <c r="E132" t="s">
        <v>133</v>
      </c>
      <c r="F132" t="s">
        <v>454</v>
      </c>
      <c r="G132" s="4">
        <v>94054090</v>
      </c>
      <c r="H132">
        <v>3</v>
      </c>
      <c r="I132">
        <v>220.34</v>
      </c>
      <c r="J132">
        <v>661.02</v>
      </c>
      <c r="K132">
        <v>59.491799999999998</v>
      </c>
      <c r="L132">
        <v>59.491799999999998</v>
      </c>
      <c r="M132">
        <v>780</v>
      </c>
    </row>
    <row r="133" spans="1:13" x14ac:dyDescent="0.25">
      <c r="A133" t="s">
        <v>337</v>
      </c>
      <c r="B133" s="3">
        <v>46239</v>
      </c>
      <c r="C133" t="s">
        <v>338</v>
      </c>
      <c r="D133" t="s">
        <v>202</v>
      </c>
      <c r="E133" t="s">
        <v>133</v>
      </c>
      <c r="F133" t="s">
        <v>454</v>
      </c>
      <c r="G133" s="4">
        <v>94054090</v>
      </c>
      <c r="H133">
        <v>2</v>
      </c>
      <c r="I133">
        <v>135.59</v>
      </c>
      <c r="J133">
        <v>271.18</v>
      </c>
      <c r="K133">
        <v>24.406199999999998</v>
      </c>
      <c r="L133">
        <v>24.406199999999998</v>
      </c>
      <c r="M133">
        <v>320</v>
      </c>
    </row>
    <row r="134" spans="1:13" x14ac:dyDescent="0.25">
      <c r="A134" t="s">
        <v>337</v>
      </c>
      <c r="B134" s="3">
        <v>46239</v>
      </c>
      <c r="C134" t="s">
        <v>338</v>
      </c>
      <c r="D134" t="s">
        <v>199</v>
      </c>
      <c r="E134" t="s">
        <v>133</v>
      </c>
      <c r="F134" t="s">
        <v>454</v>
      </c>
      <c r="G134" s="4">
        <v>94054090</v>
      </c>
      <c r="H134">
        <v>3</v>
      </c>
      <c r="I134">
        <v>296.61</v>
      </c>
      <c r="J134">
        <v>889.83</v>
      </c>
      <c r="K134">
        <v>80.084699999999998</v>
      </c>
      <c r="L134">
        <v>80.084699999999998</v>
      </c>
      <c r="M134">
        <v>1050</v>
      </c>
    </row>
    <row r="135" spans="1:13" x14ac:dyDescent="0.25">
      <c r="A135" t="s">
        <v>337</v>
      </c>
      <c r="B135" s="3">
        <v>46239</v>
      </c>
      <c r="C135" t="s">
        <v>338</v>
      </c>
      <c r="D135" t="s">
        <v>340</v>
      </c>
      <c r="E135" t="s">
        <v>452</v>
      </c>
      <c r="F135" t="s">
        <v>454</v>
      </c>
      <c r="G135" s="4">
        <v>94054900</v>
      </c>
      <c r="H135">
        <v>20</v>
      </c>
      <c r="I135">
        <v>135.59</v>
      </c>
      <c r="J135">
        <v>2711.8</v>
      </c>
      <c r="K135">
        <v>244.06200000000001</v>
      </c>
      <c r="L135">
        <v>244.06200000000001</v>
      </c>
      <c r="M135">
        <v>3199.9</v>
      </c>
    </row>
    <row r="136" spans="1:13" x14ac:dyDescent="0.25">
      <c r="A136" t="s">
        <v>335</v>
      </c>
      <c r="B136" s="3">
        <v>46239</v>
      </c>
      <c r="C136" t="s">
        <v>211</v>
      </c>
      <c r="D136" t="s">
        <v>336</v>
      </c>
      <c r="E136" t="s">
        <v>452</v>
      </c>
      <c r="F136" t="s">
        <v>453</v>
      </c>
      <c r="G136" s="4">
        <v>84145120</v>
      </c>
      <c r="H136" s="4">
        <v>2</v>
      </c>
      <c r="I136" s="4">
        <v>1144.07</v>
      </c>
      <c r="J136">
        <v>2288.14</v>
      </c>
      <c r="K136">
        <v>205.93259999999998</v>
      </c>
      <c r="L136">
        <v>205.93259999999998</v>
      </c>
      <c r="M136">
        <v>2700</v>
      </c>
    </row>
    <row r="137" spans="1:13" x14ac:dyDescent="0.25">
      <c r="A137" t="s">
        <v>332</v>
      </c>
      <c r="B137" s="3">
        <v>46239</v>
      </c>
      <c r="C137" t="s">
        <v>112</v>
      </c>
      <c r="D137" t="s">
        <v>305</v>
      </c>
      <c r="E137" t="s">
        <v>133</v>
      </c>
      <c r="F137" t="s">
        <v>454</v>
      </c>
      <c r="G137" s="4">
        <v>94054090</v>
      </c>
      <c r="H137" s="4">
        <v>80</v>
      </c>
      <c r="I137" s="4">
        <v>80.510000000000005</v>
      </c>
      <c r="J137">
        <v>6440.8</v>
      </c>
      <c r="K137">
        <v>579.67200000000003</v>
      </c>
      <c r="L137">
        <v>579.67200000000003</v>
      </c>
      <c r="M137">
        <v>7600.1</v>
      </c>
    </row>
    <row r="138" spans="1:13" ht="30" x14ac:dyDescent="0.25">
      <c r="A138" t="s">
        <v>332</v>
      </c>
      <c r="B138" s="3">
        <v>46239</v>
      </c>
      <c r="C138" t="s">
        <v>112</v>
      </c>
      <c r="D138" s="5" t="s">
        <v>467</v>
      </c>
      <c r="E138" t="s">
        <v>452</v>
      </c>
      <c r="F138" t="s">
        <v>454</v>
      </c>
      <c r="G138" s="4">
        <v>94054900</v>
      </c>
      <c r="H138" s="4">
        <v>20</v>
      </c>
      <c r="I138" s="4">
        <v>177.97</v>
      </c>
      <c r="J138">
        <v>3559.4</v>
      </c>
      <c r="K138">
        <v>320.346</v>
      </c>
      <c r="L138">
        <v>320.346</v>
      </c>
      <c r="M138">
        <v>4200.1000000000004</v>
      </c>
    </row>
    <row r="139" spans="1:13" ht="30" x14ac:dyDescent="0.25">
      <c r="A139" t="s">
        <v>332</v>
      </c>
      <c r="B139" s="3">
        <v>46239</v>
      </c>
      <c r="C139" t="s">
        <v>112</v>
      </c>
      <c r="D139" s="5" t="s">
        <v>468</v>
      </c>
      <c r="E139" t="s">
        <v>452</v>
      </c>
      <c r="F139" t="s">
        <v>453</v>
      </c>
      <c r="G139" s="4">
        <v>84145120</v>
      </c>
      <c r="H139" s="4">
        <v>12</v>
      </c>
      <c r="I139" s="4">
        <v>1144.07</v>
      </c>
      <c r="J139">
        <v>13728.84</v>
      </c>
      <c r="K139">
        <v>1235.5955999999999</v>
      </c>
      <c r="L139">
        <v>1235.5955999999999</v>
      </c>
      <c r="M139">
        <v>16200</v>
      </c>
    </row>
    <row r="140" spans="1:13" ht="30" x14ac:dyDescent="0.25">
      <c r="A140" t="s">
        <v>332</v>
      </c>
      <c r="B140" s="3">
        <v>46239</v>
      </c>
      <c r="C140" t="s">
        <v>112</v>
      </c>
      <c r="D140" s="5" t="s">
        <v>469</v>
      </c>
      <c r="E140" t="s">
        <v>452</v>
      </c>
      <c r="F140" t="s">
        <v>453</v>
      </c>
      <c r="G140" s="4">
        <v>84145120</v>
      </c>
      <c r="H140" s="4">
        <v>8</v>
      </c>
      <c r="I140" s="4">
        <v>1144.07</v>
      </c>
      <c r="J140">
        <v>9152.56</v>
      </c>
      <c r="K140">
        <v>823.73039999999992</v>
      </c>
      <c r="L140">
        <v>823.73039999999992</v>
      </c>
      <c r="M140">
        <v>10800</v>
      </c>
    </row>
    <row r="141" spans="1:13" x14ac:dyDescent="0.25">
      <c r="A141" t="s">
        <v>332</v>
      </c>
      <c r="B141" s="3">
        <v>46239</v>
      </c>
      <c r="C141" t="s">
        <v>112</v>
      </c>
      <c r="D141" t="s">
        <v>333</v>
      </c>
      <c r="E141" t="s">
        <v>133</v>
      </c>
      <c r="F141" t="s">
        <v>454</v>
      </c>
      <c r="G141" s="4">
        <v>94054090</v>
      </c>
      <c r="H141" s="4">
        <v>50</v>
      </c>
      <c r="I141" s="4">
        <v>59.32</v>
      </c>
      <c r="J141">
        <v>2966</v>
      </c>
      <c r="K141">
        <v>266.94</v>
      </c>
      <c r="L141">
        <v>266.94</v>
      </c>
      <c r="M141">
        <v>3499.9</v>
      </c>
    </row>
    <row r="142" spans="1:13" x14ac:dyDescent="0.25">
      <c r="A142" t="s">
        <v>332</v>
      </c>
      <c r="B142" s="3">
        <v>46239</v>
      </c>
      <c r="C142" t="s">
        <v>112</v>
      </c>
      <c r="D142" t="s">
        <v>334</v>
      </c>
      <c r="E142" t="s">
        <v>133</v>
      </c>
      <c r="F142" t="s">
        <v>454</v>
      </c>
      <c r="G142" s="4">
        <v>94054090</v>
      </c>
      <c r="H142" s="4">
        <v>50</v>
      </c>
      <c r="I142" s="4">
        <v>59.32</v>
      </c>
      <c r="J142">
        <v>2966</v>
      </c>
      <c r="K142">
        <v>266.94</v>
      </c>
      <c r="L142">
        <v>266.94</v>
      </c>
      <c r="M142">
        <v>3499.9</v>
      </c>
    </row>
    <row r="143" spans="1:13" x14ac:dyDescent="0.25">
      <c r="A143" t="s">
        <v>332</v>
      </c>
      <c r="B143" s="3">
        <v>46239</v>
      </c>
      <c r="C143" t="s">
        <v>112</v>
      </c>
      <c r="D143" s="5" t="s">
        <v>336</v>
      </c>
      <c r="E143" t="s">
        <v>452</v>
      </c>
      <c r="F143" t="s">
        <v>453</v>
      </c>
      <c r="G143" s="4">
        <v>84145120</v>
      </c>
      <c r="H143" s="4">
        <v>3</v>
      </c>
      <c r="I143" s="4">
        <v>1144.07</v>
      </c>
      <c r="J143">
        <v>3432.21</v>
      </c>
      <c r="K143">
        <v>308.89889999999997</v>
      </c>
      <c r="L143">
        <v>308.89889999999997</v>
      </c>
      <c r="M143">
        <v>4050</v>
      </c>
    </row>
    <row r="144" spans="1:13" x14ac:dyDescent="0.25">
      <c r="A144" t="s">
        <v>331</v>
      </c>
      <c r="B144" s="3">
        <v>46236</v>
      </c>
      <c r="C144" t="s">
        <v>115</v>
      </c>
      <c r="D144" t="s">
        <v>136</v>
      </c>
      <c r="E144" t="s">
        <v>452</v>
      </c>
      <c r="F144" t="s">
        <v>454</v>
      </c>
      <c r="G144" s="4">
        <v>94054900</v>
      </c>
      <c r="H144">
        <v>2</v>
      </c>
      <c r="I144">
        <v>563.55999999999995</v>
      </c>
      <c r="J144">
        <v>1127.1199999999999</v>
      </c>
      <c r="K144">
        <v>101.44079999999998</v>
      </c>
      <c r="L144">
        <v>101.44079999999998</v>
      </c>
      <c r="M144">
        <v>1330</v>
      </c>
    </row>
    <row r="145" spans="1:13" x14ac:dyDescent="0.25">
      <c r="A145" t="s">
        <v>329</v>
      </c>
      <c r="B145" s="3">
        <v>46235</v>
      </c>
      <c r="C145" t="s">
        <v>236</v>
      </c>
      <c r="D145" t="s">
        <v>237</v>
      </c>
      <c r="E145" t="s">
        <v>133</v>
      </c>
      <c r="F145" t="s">
        <v>454</v>
      </c>
      <c r="G145" s="4">
        <v>94054090</v>
      </c>
      <c r="H145">
        <v>20</v>
      </c>
      <c r="I145">
        <v>133.9</v>
      </c>
      <c r="J145">
        <v>2678</v>
      </c>
      <c r="K145">
        <v>241.01999999999998</v>
      </c>
      <c r="L145">
        <v>241.01999999999998</v>
      </c>
      <c r="M145">
        <v>3160</v>
      </c>
    </row>
    <row r="146" spans="1:13" x14ac:dyDescent="0.25">
      <c r="A146" t="s">
        <v>329</v>
      </c>
      <c r="B146" s="3">
        <v>46235</v>
      </c>
      <c r="C146" t="s">
        <v>236</v>
      </c>
      <c r="D146" t="s">
        <v>178</v>
      </c>
      <c r="E146" t="s">
        <v>133</v>
      </c>
      <c r="F146" t="s">
        <v>454</v>
      </c>
      <c r="G146" s="4">
        <v>94054090</v>
      </c>
      <c r="H146">
        <v>1</v>
      </c>
      <c r="I146">
        <v>87.29</v>
      </c>
      <c r="J146">
        <v>87.29</v>
      </c>
      <c r="K146">
        <v>7.8561000000000005</v>
      </c>
      <c r="L146">
        <v>7.8561000000000005</v>
      </c>
      <c r="M146">
        <v>103</v>
      </c>
    </row>
    <row r="147" spans="1:13" x14ac:dyDescent="0.25">
      <c r="A147" t="s">
        <v>329</v>
      </c>
      <c r="B147" s="3">
        <v>46235</v>
      </c>
      <c r="C147" t="s">
        <v>236</v>
      </c>
      <c r="D147" t="s">
        <v>178</v>
      </c>
      <c r="E147" t="s">
        <v>133</v>
      </c>
      <c r="F147" t="s">
        <v>454</v>
      </c>
      <c r="G147" s="4">
        <v>94054090</v>
      </c>
      <c r="H147">
        <v>5</v>
      </c>
      <c r="I147">
        <v>87.29</v>
      </c>
      <c r="J147">
        <v>436.45000000000005</v>
      </c>
      <c r="K147">
        <v>39.280500000000004</v>
      </c>
      <c r="L147">
        <v>39.280500000000004</v>
      </c>
      <c r="M147">
        <v>515</v>
      </c>
    </row>
    <row r="148" spans="1:13" x14ac:dyDescent="0.25">
      <c r="A148" t="s">
        <v>329</v>
      </c>
      <c r="B148" s="3">
        <v>46235</v>
      </c>
      <c r="C148" t="s">
        <v>236</v>
      </c>
      <c r="D148" t="s">
        <v>178</v>
      </c>
      <c r="E148" t="s">
        <v>133</v>
      </c>
      <c r="F148" t="s">
        <v>454</v>
      </c>
      <c r="G148" s="4">
        <v>94054090</v>
      </c>
      <c r="H148">
        <v>14</v>
      </c>
      <c r="I148">
        <v>87.29</v>
      </c>
      <c r="J148">
        <v>1222.0600000000002</v>
      </c>
      <c r="K148">
        <v>109.98540000000001</v>
      </c>
      <c r="L148">
        <v>109.98540000000001</v>
      </c>
      <c r="M148">
        <v>1442</v>
      </c>
    </row>
    <row r="149" spans="1:13" x14ac:dyDescent="0.25">
      <c r="A149" t="s">
        <v>327</v>
      </c>
      <c r="B149" s="3">
        <v>46228</v>
      </c>
      <c r="C149" t="s">
        <v>45</v>
      </c>
      <c r="D149" t="s">
        <v>328</v>
      </c>
      <c r="E149" t="s">
        <v>452</v>
      </c>
      <c r="F149" t="s">
        <v>454</v>
      </c>
      <c r="G149" s="4">
        <v>94054900</v>
      </c>
      <c r="H149">
        <v>35</v>
      </c>
      <c r="I149">
        <v>113.56</v>
      </c>
      <c r="J149">
        <v>3974.6</v>
      </c>
      <c r="K149">
        <v>357.714</v>
      </c>
      <c r="L149">
        <v>357.714</v>
      </c>
      <c r="M149">
        <v>4690</v>
      </c>
    </row>
    <row r="150" spans="1:13" x14ac:dyDescent="0.25">
      <c r="A150" t="s">
        <v>326</v>
      </c>
      <c r="B150" s="3">
        <v>46227</v>
      </c>
      <c r="C150" t="s">
        <v>320</v>
      </c>
      <c r="D150" t="s">
        <v>291</v>
      </c>
      <c r="E150" t="s">
        <v>133</v>
      </c>
      <c r="F150" t="s">
        <v>454</v>
      </c>
      <c r="G150" s="4">
        <v>85395000</v>
      </c>
      <c r="H150">
        <v>1500</v>
      </c>
      <c r="I150">
        <v>25.76</v>
      </c>
      <c r="J150">
        <v>38640</v>
      </c>
      <c r="K150">
        <v>3477.6</v>
      </c>
      <c r="L150">
        <v>3477.6</v>
      </c>
      <c r="M150">
        <v>45595.199999999997</v>
      </c>
    </row>
    <row r="151" spans="1:13" x14ac:dyDescent="0.25">
      <c r="A151" t="s">
        <v>325</v>
      </c>
      <c r="B151" s="3">
        <v>46226</v>
      </c>
      <c r="C151" t="s">
        <v>320</v>
      </c>
      <c r="D151" t="s">
        <v>291</v>
      </c>
      <c r="E151" t="s">
        <v>133</v>
      </c>
      <c r="F151" t="s">
        <v>454</v>
      </c>
      <c r="G151" s="4">
        <v>85395000</v>
      </c>
      <c r="H151">
        <v>1500</v>
      </c>
      <c r="I151">
        <v>25.76</v>
      </c>
      <c r="J151">
        <v>38640</v>
      </c>
      <c r="K151">
        <v>3477.6</v>
      </c>
      <c r="L151">
        <v>3477.6</v>
      </c>
      <c r="M151">
        <v>45595.199999999997</v>
      </c>
    </row>
    <row r="152" spans="1:13" x14ac:dyDescent="0.25">
      <c r="A152" t="s">
        <v>324</v>
      </c>
      <c r="B152" s="3">
        <v>46226</v>
      </c>
      <c r="C152" t="s">
        <v>115</v>
      </c>
      <c r="D152" t="s">
        <v>121</v>
      </c>
      <c r="E152" t="s">
        <v>452</v>
      </c>
      <c r="F152" t="s">
        <v>454</v>
      </c>
      <c r="G152" s="4">
        <v>94054900</v>
      </c>
      <c r="H152">
        <v>90</v>
      </c>
      <c r="I152">
        <v>51.69</v>
      </c>
      <c r="J152">
        <v>4652.0999999999995</v>
      </c>
      <c r="K152">
        <v>418.68899999999991</v>
      </c>
      <c r="L152">
        <v>418.68899999999991</v>
      </c>
      <c r="M152">
        <v>5489.5</v>
      </c>
    </row>
    <row r="153" spans="1:13" x14ac:dyDescent="0.25">
      <c r="A153" t="s">
        <v>323</v>
      </c>
      <c r="B153" s="3">
        <v>46225</v>
      </c>
      <c r="C153" t="s">
        <v>154</v>
      </c>
      <c r="D153" t="s">
        <v>157</v>
      </c>
      <c r="E153" t="s">
        <v>452</v>
      </c>
      <c r="F153" t="s">
        <v>454</v>
      </c>
      <c r="G153" s="4">
        <v>94054900</v>
      </c>
      <c r="H153" s="4">
        <v>5</v>
      </c>
      <c r="I153" s="4">
        <v>317.8</v>
      </c>
      <c r="J153">
        <v>1589</v>
      </c>
      <c r="K153">
        <v>143.01</v>
      </c>
      <c r="L153">
        <v>143.01</v>
      </c>
      <c r="M153">
        <v>1875</v>
      </c>
    </row>
    <row r="154" spans="1:13" x14ac:dyDescent="0.25">
      <c r="A154" t="s">
        <v>319</v>
      </c>
      <c r="B154" s="3">
        <v>46225</v>
      </c>
      <c r="C154" t="s">
        <v>320</v>
      </c>
      <c r="D154" t="s">
        <v>244</v>
      </c>
      <c r="E154" t="s">
        <v>133</v>
      </c>
      <c r="F154" t="s">
        <v>454</v>
      </c>
      <c r="G154" s="4">
        <v>94054090</v>
      </c>
      <c r="H154">
        <v>80</v>
      </c>
      <c r="I154">
        <v>80.510000000000005</v>
      </c>
      <c r="J154">
        <v>6440.8</v>
      </c>
      <c r="K154">
        <v>579.67200000000003</v>
      </c>
      <c r="L154">
        <v>579.67200000000003</v>
      </c>
      <c r="M154">
        <v>7600.1</v>
      </c>
    </row>
    <row r="155" spans="1:13" x14ac:dyDescent="0.25">
      <c r="A155" t="s">
        <v>319</v>
      </c>
      <c r="B155" s="3">
        <v>46225</v>
      </c>
      <c r="C155" t="s">
        <v>320</v>
      </c>
      <c r="D155" t="s">
        <v>244</v>
      </c>
      <c r="E155" t="s">
        <v>133</v>
      </c>
      <c r="F155" t="s">
        <v>454</v>
      </c>
      <c r="G155" s="4">
        <v>94054090</v>
      </c>
      <c r="H155">
        <v>120</v>
      </c>
      <c r="I155">
        <v>80.510000000000005</v>
      </c>
      <c r="J155">
        <v>9661.2000000000007</v>
      </c>
      <c r="K155">
        <v>869.50800000000004</v>
      </c>
      <c r="L155">
        <v>869.50800000000004</v>
      </c>
      <c r="M155">
        <v>11400.2</v>
      </c>
    </row>
    <row r="156" spans="1:13" x14ac:dyDescent="0.25">
      <c r="A156" t="s">
        <v>319</v>
      </c>
      <c r="B156" s="3">
        <v>46225</v>
      </c>
      <c r="C156" t="s">
        <v>320</v>
      </c>
      <c r="D156" t="s">
        <v>321</v>
      </c>
      <c r="E156" t="s">
        <v>133</v>
      </c>
      <c r="F156" t="s">
        <v>454</v>
      </c>
      <c r="G156" s="4">
        <v>94054090</v>
      </c>
      <c r="H156">
        <v>37</v>
      </c>
      <c r="I156">
        <v>271.19</v>
      </c>
      <c r="J156">
        <v>10034.030000000001</v>
      </c>
      <c r="K156">
        <v>903.06270000000006</v>
      </c>
      <c r="L156">
        <v>903.06270000000006</v>
      </c>
      <c r="M156">
        <v>11840.2</v>
      </c>
    </row>
    <row r="157" spans="1:13" x14ac:dyDescent="0.25">
      <c r="A157" t="s">
        <v>319</v>
      </c>
      <c r="B157" s="3">
        <v>46225</v>
      </c>
      <c r="C157" t="s">
        <v>320</v>
      </c>
      <c r="D157" t="s">
        <v>199</v>
      </c>
      <c r="E157" t="s">
        <v>133</v>
      </c>
      <c r="F157" t="s">
        <v>454</v>
      </c>
      <c r="G157" s="4">
        <v>94054090</v>
      </c>
      <c r="H157">
        <v>40</v>
      </c>
      <c r="I157">
        <v>227.97</v>
      </c>
      <c r="J157">
        <v>9118.7999999999993</v>
      </c>
      <c r="K157">
        <v>820.69199999999989</v>
      </c>
      <c r="L157">
        <v>820.69199999999989</v>
      </c>
      <c r="M157">
        <v>10760.2</v>
      </c>
    </row>
    <row r="158" spans="1:13" x14ac:dyDescent="0.25">
      <c r="A158" t="s">
        <v>319</v>
      </c>
      <c r="B158" s="3">
        <v>46225</v>
      </c>
      <c r="C158" t="s">
        <v>320</v>
      </c>
      <c r="D158" t="s">
        <v>322</v>
      </c>
      <c r="E158" t="s">
        <v>452</v>
      </c>
      <c r="F158" t="s">
        <v>454</v>
      </c>
      <c r="G158" s="4">
        <v>94054900</v>
      </c>
      <c r="H158">
        <v>100</v>
      </c>
      <c r="I158">
        <v>59.32</v>
      </c>
      <c r="J158">
        <v>5932</v>
      </c>
      <c r="K158">
        <v>533.88</v>
      </c>
      <c r="L158">
        <v>533.88</v>
      </c>
      <c r="M158">
        <v>6999.8</v>
      </c>
    </row>
    <row r="159" spans="1:13" x14ac:dyDescent="0.25">
      <c r="A159" t="s">
        <v>313</v>
      </c>
      <c r="B159" s="3">
        <v>46225</v>
      </c>
      <c r="C159" t="s">
        <v>112</v>
      </c>
      <c r="D159" t="s">
        <v>244</v>
      </c>
      <c r="E159" t="s">
        <v>133</v>
      </c>
      <c r="F159" t="s">
        <v>454</v>
      </c>
      <c r="G159" s="4">
        <v>94054090</v>
      </c>
      <c r="H159">
        <v>40</v>
      </c>
      <c r="I159">
        <v>88.98</v>
      </c>
      <c r="J159">
        <v>3559.2000000000003</v>
      </c>
      <c r="K159">
        <v>320.32800000000003</v>
      </c>
      <c r="L159">
        <v>320.32800000000003</v>
      </c>
      <c r="M159">
        <v>4199.8999999999996</v>
      </c>
    </row>
    <row r="160" spans="1:13" x14ac:dyDescent="0.25">
      <c r="A160" t="s">
        <v>313</v>
      </c>
      <c r="B160" s="3">
        <v>46225</v>
      </c>
      <c r="C160" t="s">
        <v>112</v>
      </c>
      <c r="D160" t="s">
        <v>289</v>
      </c>
      <c r="E160" t="s">
        <v>133</v>
      </c>
      <c r="F160" t="s">
        <v>454</v>
      </c>
      <c r="G160" s="4">
        <v>85395000</v>
      </c>
      <c r="H160">
        <v>100</v>
      </c>
      <c r="I160">
        <v>26.27</v>
      </c>
      <c r="J160">
        <v>2627</v>
      </c>
      <c r="K160">
        <v>236.42999999999998</v>
      </c>
      <c r="L160">
        <v>236.42999999999998</v>
      </c>
      <c r="M160">
        <v>3099.9</v>
      </c>
    </row>
    <row r="161" spans="1:13" x14ac:dyDescent="0.25">
      <c r="A161" t="s">
        <v>313</v>
      </c>
      <c r="B161" s="3">
        <v>46225</v>
      </c>
      <c r="C161" t="s">
        <v>112</v>
      </c>
      <c r="D161" t="s">
        <v>304</v>
      </c>
      <c r="E161" t="s">
        <v>208</v>
      </c>
      <c r="F161" t="s">
        <v>453</v>
      </c>
      <c r="G161" s="4">
        <v>84145120</v>
      </c>
      <c r="H161">
        <v>4</v>
      </c>
      <c r="I161">
        <v>1398.31</v>
      </c>
      <c r="J161">
        <v>5593.24</v>
      </c>
      <c r="K161">
        <v>503.39159999999998</v>
      </c>
      <c r="L161">
        <v>503.39159999999998</v>
      </c>
      <c r="M161">
        <v>6600</v>
      </c>
    </row>
    <row r="162" spans="1:13" x14ac:dyDescent="0.25">
      <c r="A162" t="s">
        <v>313</v>
      </c>
      <c r="B162" s="3">
        <v>46225</v>
      </c>
      <c r="C162" t="s">
        <v>112</v>
      </c>
      <c r="D162" t="s">
        <v>314</v>
      </c>
      <c r="E162" t="s">
        <v>133</v>
      </c>
      <c r="F162" t="s">
        <v>454</v>
      </c>
      <c r="G162" s="4">
        <v>94054090</v>
      </c>
      <c r="H162">
        <v>50</v>
      </c>
      <c r="I162">
        <v>55.08</v>
      </c>
      <c r="J162">
        <v>2754</v>
      </c>
      <c r="K162">
        <v>247.85999999999999</v>
      </c>
      <c r="L162">
        <v>247.85999999999999</v>
      </c>
      <c r="M162">
        <v>3249.7</v>
      </c>
    </row>
    <row r="163" spans="1:13" x14ac:dyDescent="0.25">
      <c r="A163" t="s">
        <v>313</v>
      </c>
      <c r="B163" s="3">
        <v>46225</v>
      </c>
      <c r="C163" t="s">
        <v>112</v>
      </c>
      <c r="D163" t="s">
        <v>315</v>
      </c>
      <c r="E163" t="s">
        <v>133</v>
      </c>
      <c r="F163" t="s">
        <v>454</v>
      </c>
      <c r="G163" s="4">
        <v>94054090</v>
      </c>
      <c r="H163">
        <v>20</v>
      </c>
      <c r="I163">
        <v>93.22</v>
      </c>
      <c r="J163">
        <v>1864.4</v>
      </c>
      <c r="K163">
        <v>167.79599999999999</v>
      </c>
      <c r="L163">
        <v>167.79599999999999</v>
      </c>
      <c r="M163">
        <v>2200</v>
      </c>
    </row>
    <row r="164" spans="1:13" x14ac:dyDescent="0.25">
      <c r="A164" t="s">
        <v>313</v>
      </c>
      <c r="B164" s="3">
        <v>46225</v>
      </c>
      <c r="C164" t="s">
        <v>112</v>
      </c>
      <c r="D164" t="s">
        <v>316</v>
      </c>
      <c r="E164" t="s">
        <v>133</v>
      </c>
      <c r="F164" t="s">
        <v>454</v>
      </c>
      <c r="G164" s="4">
        <v>94054090</v>
      </c>
      <c r="H164">
        <v>50</v>
      </c>
      <c r="I164">
        <v>55.08</v>
      </c>
      <c r="J164">
        <v>2754</v>
      </c>
      <c r="K164">
        <v>247.85999999999999</v>
      </c>
      <c r="L164">
        <v>247.85999999999999</v>
      </c>
      <c r="M164">
        <v>3249.7</v>
      </c>
    </row>
    <row r="165" spans="1:13" x14ac:dyDescent="0.25">
      <c r="A165" t="s">
        <v>313</v>
      </c>
      <c r="B165" s="3">
        <v>46225</v>
      </c>
      <c r="C165" t="s">
        <v>112</v>
      </c>
      <c r="D165" t="s">
        <v>317</v>
      </c>
      <c r="E165" t="s">
        <v>133</v>
      </c>
      <c r="F165" t="s">
        <v>454</v>
      </c>
      <c r="G165" s="4">
        <v>94054090</v>
      </c>
      <c r="H165">
        <v>43</v>
      </c>
      <c r="I165">
        <v>55.08</v>
      </c>
      <c r="J165">
        <v>2368.44</v>
      </c>
      <c r="K165">
        <v>213.15959999999998</v>
      </c>
      <c r="L165">
        <v>213.15959999999998</v>
      </c>
      <c r="M165">
        <v>2794.8</v>
      </c>
    </row>
    <row r="166" spans="1:13" x14ac:dyDescent="0.25">
      <c r="A166" t="s">
        <v>313</v>
      </c>
      <c r="B166" s="3">
        <v>46225</v>
      </c>
      <c r="C166" t="s">
        <v>112</v>
      </c>
      <c r="D166" t="s">
        <v>318</v>
      </c>
      <c r="E166" t="s">
        <v>133</v>
      </c>
      <c r="F166" t="s">
        <v>454</v>
      </c>
      <c r="G166" s="4">
        <v>94054090</v>
      </c>
      <c r="H166">
        <v>10</v>
      </c>
      <c r="I166">
        <v>322.02999999999997</v>
      </c>
      <c r="J166">
        <v>3220.2999999999997</v>
      </c>
      <c r="K166">
        <v>289.82699999999994</v>
      </c>
      <c r="L166">
        <v>289.82699999999994</v>
      </c>
      <c r="M166">
        <v>3800</v>
      </c>
    </row>
    <row r="167" spans="1:13" x14ac:dyDescent="0.25">
      <c r="A167" t="s">
        <v>312</v>
      </c>
      <c r="B167" s="3">
        <v>46224</v>
      </c>
      <c r="C167" t="s">
        <v>149</v>
      </c>
      <c r="D167" t="s">
        <v>35</v>
      </c>
      <c r="E167" t="s">
        <v>452</v>
      </c>
      <c r="F167" t="s">
        <v>454</v>
      </c>
      <c r="G167" s="4">
        <v>94054900</v>
      </c>
      <c r="H167">
        <v>100</v>
      </c>
      <c r="I167">
        <v>27.12</v>
      </c>
      <c r="J167">
        <v>2712</v>
      </c>
      <c r="K167">
        <v>244.07999999999998</v>
      </c>
      <c r="L167">
        <v>244.07999999999998</v>
      </c>
      <c r="M167">
        <v>3200.2</v>
      </c>
    </row>
    <row r="168" spans="1:13" x14ac:dyDescent="0.25">
      <c r="A168" t="s">
        <v>312</v>
      </c>
      <c r="B168" s="3">
        <v>46224</v>
      </c>
      <c r="C168" t="s">
        <v>149</v>
      </c>
      <c r="D168" t="s">
        <v>32</v>
      </c>
      <c r="E168" t="s">
        <v>452</v>
      </c>
      <c r="F168" t="s">
        <v>454</v>
      </c>
      <c r="G168" s="4">
        <v>94054900</v>
      </c>
      <c r="H168">
        <v>1</v>
      </c>
      <c r="I168">
        <v>542.37</v>
      </c>
      <c r="J168">
        <v>542.37</v>
      </c>
      <c r="K168">
        <v>48.813299999999998</v>
      </c>
      <c r="L168">
        <v>48.813299999999998</v>
      </c>
      <c r="M168">
        <v>640</v>
      </c>
    </row>
    <row r="169" spans="1:13" x14ac:dyDescent="0.25">
      <c r="A169" t="s">
        <v>312</v>
      </c>
      <c r="B169" s="3">
        <v>46224</v>
      </c>
      <c r="C169" t="s">
        <v>149</v>
      </c>
      <c r="D169" t="s">
        <v>244</v>
      </c>
      <c r="E169" t="s">
        <v>133</v>
      </c>
      <c r="F169" t="s">
        <v>454</v>
      </c>
      <c r="G169" s="4">
        <v>94054090</v>
      </c>
      <c r="H169">
        <v>20</v>
      </c>
      <c r="I169">
        <v>93.22</v>
      </c>
      <c r="J169">
        <v>1864.4</v>
      </c>
      <c r="K169">
        <v>167.79599999999999</v>
      </c>
      <c r="L169">
        <v>167.79599999999999</v>
      </c>
      <c r="M169">
        <v>2200</v>
      </c>
    </row>
    <row r="170" spans="1:13" x14ac:dyDescent="0.25">
      <c r="A170" t="s">
        <v>311</v>
      </c>
      <c r="B170" s="3">
        <v>46218</v>
      </c>
      <c r="C170" t="s">
        <v>65</v>
      </c>
      <c r="D170" t="s">
        <v>145</v>
      </c>
      <c r="E170" t="s">
        <v>452</v>
      </c>
      <c r="F170" t="s">
        <v>454</v>
      </c>
      <c r="G170" s="4">
        <v>94054900</v>
      </c>
      <c r="H170" s="4">
        <v>20</v>
      </c>
      <c r="I170" s="4">
        <v>80.510000000000005</v>
      </c>
      <c r="J170">
        <v>1610.2</v>
      </c>
      <c r="K170">
        <v>144.91800000000001</v>
      </c>
      <c r="L170">
        <v>144.91800000000001</v>
      </c>
      <c r="M170">
        <v>1900</v>
      </c>
    </row>
    <row r="171" spans="1:13" x14ac:dyDescent="0.25">
      <c r="A171" t="s">
        <v>308</v>
      </c>
      <c r="B171" s="3">
        <v>46218</v>
      </c>
      <c r="C171" t="s">
        <v>154</v>
      </c>
      <c r="D171" t="s">
        <v>158</v>
      </c>
      <c r="E171" t="s">
        <v>452</v>
      </c>
      <c r="F171" t="s">
        <v>454</v>
      </c>
      <c r="G171" s="4">
        <v>94054900</v>
      </c>
      <c r="H171">
        <v>10</v>
      </c>
      <c r="I171">
        <v>223.73</v>
      </c>
      <c r="J171">
        <v>2237.2999999999997</v>
      </c>
      <c r="K171">
        <v>201.35699999999997</v>
      </c>
      <c r="L171">
        <v>201.35699999999997</v>
      </c>
      <c r="M171">
        <v>2640</v>
      </c>
    </row>
    <row r="172" spans="1:13" x14ac:dyDescent="0.25">
      <c r="A172" t="s">
        <v>308</v>
      </c>
      <c r="B172" s="3">
        <v>46218</v>
      </c>
      <c r="C172" t="s">
        <v>154</v>
      </c>
      <c r="D172" t="s">
        <v>309</v>
      </c>
      <c r="E172" t="s">
        <v>452</v>
      </c>
      <c r="F172" t="s">
        <v>454</v>
      </c>
      <c r="G172" s="4">
        <v>94054900</v>
      </c>
      <c r="H172">
        <v>6</v>
      </c>
      <c r="I172">
        <v>223.73</v>
      </c>
      <c r="J172">
        <v>1342.3799999999999</v>
      </c>
      <c r="K172">
        <v>120.81419999999999</v>
      </c>
      <c r="L172">
        <v>120.81419999999999</v>
      </c>
      <c r="M172">
        <v>1584</v>
      </c>
    </row>
    <row r="173" spans="1:13" x14ac:dyDescent="0.25">
      <c r="A173" t="s">
        <v>306</v>
      </c>
      <c r="B173" s="3">
        <v>46216</v>
      </c>
      <c r="C173" t="s">
        <v>307</v>
      </c>
      <c r="D173" t="s">
        <v>228</v>
      </c>
      <c r="E173" t="s">
        <v>133</v>
      </c>
      <c r="F173" t="s">
        <v>454</v>
      </c>
      <c r="G173" s="4">
        <v>94054090</v>
      </c>
      <c r="H173" s="4">
        <v>50</v>
      </c>
      <c r="I173" s="4">
        <v>28.81</v>
      </c>
      <c r="J173">
        <v>1440.5</v>
      </c>
      <c r="K173">
        <v>129.64499999999998</v>
      </c>
      <c r="L173">
        <v>129.64499999999998</v>
      </c>
      <c r="M173">
        <v>1699.8</v>
      </c>
    </row>
    <row r="174" spans="1:13" x14ac:dyDescent="0.25">
      <c r="A174" t="s">
        <v>306</v>
      </c>
      <c r="B174" s="3">
        <v>46216</v>
      </c>
      <c r="C174" t="s">
        <v>307</v>
      </c>
      <c r="D174" t="s">
        <v>178</v>
      </c>
      <c r="E174" t="s">
        <v>133</v>
      </c>
      <c r="F174" t="s">
        <v>454</v>
      </c>
      <c r="G174" s="4">
        <v>94054090</v>
      </c>
      <c r="H174" s="4">
        <v>40</v>
      </c>
      <c r="I174" s="4">
        <v>87.29</v>
      </c>
      <c r="J174">
        <v>3491.6000000000004</v>
      </c>
      <c r="K174">
        <v>314.24400000000003</v>
      </c>
      <c r="L174">
        <v>314.24400000000003</v>
      </c>
      <c r="M174">
        <v>4120.1000000000004</v>
      </c>
    </row>
    <row r="175" spans="1:13" x14ac:dyDescent="0.25">
      <c r="A175" t="s">
        <v>302</v>
      </c>
      <c r="B175" s="3">
        <v>46212</v>
      </c>
      <c r="C175" t="s">
        <v>129</v>
      </c>
      <c r="D175" t="s">
        <v>303</v>
      </c>
      <c r="E175" t="s">
        <v>452</v>
      </c>
      <c r="F175" t="s">
        <v>453</v>
      </c>
      <c r="G175" s="4">
        <v>84145120</v>
      </c>
      <c r="H175">
        <v>4</v>
      </c>
      <c r="I175">
        <v>1156.78</v>
      </c>
      <c r="J175">
        <v>4627.12</v>
      </c>
      <c r="K175">
        <v>416.44079999999997</v>
      </c>
      <c r="L175">
        <v>416.44079999999997</v>
      </c>
      <c r="M175">
        <v>5460</v>
      </c>
    </row>
    <row r="176" spans="1:13" x14ac:dyDescent="0.25">
      <c r="A176" t="s">
        <v>302</v>
      </c>
      <c r="B176" s="3">
        <v>46212</v>
      </c>
      <c r="C176" t="s">
        <v>129</v>
      </c>
      <c r="D176" t="s">
        <v>141</v>
      </c>
      <c r="E176" t="s">
        <v>452</v>
      </c>
      <c r="F176" t="s">
        <v>453</v>
      </c>
      <c r="G176" s="4">
        <v>84145120</v>
      </c>
      <c r="H176">
        <v>8</v>
      </c>
      <c r="I176">
        <v>1156.78</v>
      </c>
      <c r="J176">
        <v>9254.24</v>
      </c>
      <c r="K176">
        <v>832.88159999999993</v>
      </c>
      <c r="L176">
        <v>832.88159999999993</v>
      </c>
      <c r="M176">
        <v>10920</v>
      </c>
    </row>
    <row r="177" spans="1:13" x14ac:dyDescent="0.25">
      <c r="A177" t="s">
        <v>302</v>
      </c>
      <c r="B177" s="3">
        <v>46212</v>
      </c>
      <c r="C177" t="s">
        <v>129</v>
      </c>
      <c r="D177" t="s">
        <v>207</v>
      </c>
      <c r="E177" t="s">
        <v>208</v>
      </c>
      <c r="F177" t="s">
        <v>453</v>
      </c>
      <c r="G177" s="4">
        <v>84145120</v>
      </c>
      <c r="H177">
        <v>2</v>
      </c>
      <c r="I177">
        <v>1338.98</v>
      </c>
      <c r="J177">
        <v>2677.96</v>
      </c>
      <c r="K177">
        <v>241.0164</v>
      </c>
      <c r="L177">
        <v>241.0164</v>
      </c>
      <c r="M177">
        <v>3160</v>
      </c>
    </row>
    <row r="178" spans="1:13" x14ac:dyDescent="0.25">
      <c r="A178" t="s">
        <v>302</v>
      </c>
      <c r="B178" s="3">
        <v>46212</v>
      </c>
      <c r="C178" t="s">
        <v>129</v>
      </c>
      <c r="D178" t="s">
        <v>304</v>
      </c>
      <c r="E178" t="s">
        <v>208</v>
      </c>
      <c r="F178" t="s">
        <v>453</v>
      </c>
      <c r="G178" s="4">
        <v>84145120</v>
      </c>
      <c r="H178">
        <v>3</v>
      </c>
      <c r="I178">
        <v>1398.31</v>
      </c>
      <c r="J178">
        <v>4194.93</v>
      </c>
      <c r="K178">
        <v>377.5437</v>
      </c>
      <c r="L178">
        <v>377.5437</v>
      </c>
      <c r="M178">
        <v>4950</v>
      </c>
    </row>
    <row r="179" spans="1:13" x14ac:dyDescent="0.25">
      <c r="A179" t="s">
        <v>302</v>
      </c>
      <c r="B179" s="3">
        <v>46212</v>
      </c>
      <c r="C179" t="s">
        <v>129</v>
      </c>
      <c r="D179" t="s">
        <v>64</v>
      </c>
      <c r="E179" t="s">
        <v>452</v>
      </c>
      <c r="F179" t="s">
        <v>454</v>
      </c>
      <c r="G179" s="4">
        <v>94054900</v>
      </c>
      <c r="H179">
        <v>5</v>
      </c>
      <c r="I179">
        <v>177.97</v>
      </c>
      <c r="J179">
        <v>889.85</v>
      </c>
      <c r="K179">
        <v>80.086500000000001</v>
      </c>
      <c r="L179">
        <v>80.086500000000001</v>
      </c>
      <c r="M179">
        <v>1050</v>
      </c>
    </row>
    <row r="180" spans="1:13" x14ac:dyDescent="0.25">
      <c r="A180" t="s">
        <v>302</v>
      </c>
      <c r="B180" s="3">
        <v>46212</v>
      </c>
      <c r="C180" t="s">
        <v>129</v>
      </c>
      <c r="D180" t="s">
        <v>13</v>
      </c>
      <c r="E180" t="s">
        <v>452</v>
      </c>
      <c r="F180" t="s">
        <v>454</v>
      </c>
      <c r="G180" s="4">
        <v>94054900</v>
      </c>
      <c r="H180">
        <v>40</v>
      </c>
      <c r="I180">
        <v>82.2</v>
      </c>
      <c r="J180">
        <v>3288</v>
      </c>
      <c r="K180">
        <v>295.92</v>
      </c>
      <c r="L180">
        <v>295.92</v>
      </c>
      <c r="M180">
        <v>3879.8</v>
      </c>
    </row>
    <row r="181" spans="1:13" x14ac:dyDescent="0.25">
      <c r="A181" t="s">
        <v>302</v>
      </c>
      <c r="B181" s="3">
        <v>46212</v>
      </c>
      <c r="C181" t="s">
        <v>129</v>
      </c>
      <c r="D181" t="s">
        <v>305</v>
      </c>
      <c r="E181" t="s">
        <v>133</v>
      </c>
      <c r="F181" t="s">
        <v>454</v>
      </c>
      <c r="G181" s="4">
        <v>94054090</v>
      </c>
      <c r="H181">
        <v>80</v>
      </c>
      <c r="I181">
        <v>80.510000000000005</v>
      </c>
      <c r="J181">
        <v>6440.8</v>
      </c>
      <c r="K181">
        <v>579.67200000000003</v>
      </c>
      <c r="L181">
        <v>579.67200000000003</v>
      </c>
      <c r="M181">
        <v>7600.1</v>
      </c>
    </row>
    <row r="182" spans="1:13" x14ac:dyDescent="0.25">
      <c r="A182" t="s">
        <v>301</v>
      </c>
      <c r="B182" s="3">
        <v>46212</v>
      </c>
      <c r="C182" t="s">
        <v>108</v>
      </c>
      <c r="D182" t="s">
        <v>141</v>
      </c>
      <c r="E182" t="s">
        <v>452</v>
      </c>
      <c r="F182" t="s">
        <v>453</v>
      </c>
      <c r="G182" s="4">
        <v>84145120</v>
      </c>
      <c r="H182" s="4">
        <v>2</v>
      </c>
      <c r="I182" s="4">
        <v>1144.06</v>
      </c>
      <c r="J182">
        <v>2288.12</v>
      </c>
      <c r="K182">
        <v>205.93079999999998</v>
      </c>
      <c r="L182">
        <v>205.93079999999998</v>
      </c>
      <c r="M182">
        <v>2700</v>
      </c>
    </row>
    <row r="183" spans="1:13" x14ac:dyDescent="0.25">
      <c r="A183" t="s">
        <v>300</v>
      </c>
      <c r="B183" s="3">
        <v>46210</v>
      </c>
      <c r="C183" t="s">
        <v>86</v>
      </c>
      <c r="D183" t="s">
        <v>268</v>
      </c>
      <c r="E183" t="s">
        <v>133</v>
      </c>
      <c r="F183" t="s">
        <v>454</v>
      </c>
      <c r="G183" s="4">
        <v>94054090</v>
      </c>
      <c r="H183">
        <v>2</v>
      </c>
      <c r="I183">
        <v>487.29</v>
      </c>
      <c r="J183">
        <v>974.58</v>
      </c>
      <c r="K183">
        <v>87.712199999999996</v>
      </c>
      <c r="L183">
        <v>87.712199999999996</v>
      </c>
      <c r="M183">
        <v>1150</v>
      </c>
    </row>
    <row r="184" spans="1:13" x14ac:dyDescent="0.25">
      <c r="A184" t="s">
        <v>300</v>
      </c>
      <c r="B184" s="3">
        <v>46210</v>
      </c>
      <c r="C184" t="s">
        <v>86</v>
      </c>
      <c r="D184" t="s">
        <v>169</v>
      </c>
      <c r="E184" t="s">
        <v>133</v>
      </c>
      <c r="F184" t="s">
        <v>454</v>
      </c>
      <c r="G184" s="4">
        <v>94054090</v>
      </c>
      <c r="H184">
        <v>1</v>
      </c>
      <c r="I184">
        <v>330.51</v>
      </c>
      <c r="J184">
        <v>330.51</v>
      </c>
      <c r="K184">
        <v>29.745899999999999</v>
      </c>
      <c r="L184">
        <v>29.745899999999999</v>
      </c>
      <c r="M184">
        <v>390</v>
      </c>
    </row>
    <row r="185" spans="1:13" x14ac:dyDescent="0.25">
      <c r="A185" t="s">
        <v>300</v>
      </c>
      <c r="B185" s="3">
        <v>46210</v>
      </c>
      <c r="C185" t="s">
        <v>86</v>
      </c>
      <c r="D185" t="s">
        <v>186</v>
      </c>
      <c r="E185" t="s">
        <v>133</v>
      </c>
      <c r="F185" t="s">
        <v>454</v>
      </c>
      <c r="G185" s="4">
        <v>94054090</v>
      </c>
      <c r="H185">
        <v>4</v>
      </c>
      <c r="I185">
        <v>135.59</v>
      </c>
      <c r="J185">
        <v>542.36</v>
      </c>
      <c r="K185">
        <v>48.812399999999997</v>
      </c>
      <c r="L185">
        <v>48.812399999999997</v>
      </c>
      <c r="M185">
        <v>640</v>
      </c>
    </row>
    <row r="186" spans="1:13" x14ac:dyDescent="0.25">
      <c r="A186" t="s">
        <v>300</v>
      </c>
      <c r="B186" s="3">
        <v>46210</v>
      </c>
      <c r="C186" t="s">
        <v>86</v>
      </c>
      <c r="D186" t="s">
        <v>187</v>
      </c>
      <c r="E186" t="s">
        <v>133</v>
      </c>
      <c r="F186" t="s">
        <v>454</v>
      </c>
      <c r="G186" s="4">
        <v>84145120</v>
      </c>
      <c r="H186">
        <v>2</v>
      </c>
      <c r="I186">
        <v>1440.68</v>
      </c>
      <c r="J186">
        <v>2881.36</v>
      </c>
      <c r="K186">
        <v>259.32240000000002</v>
      </c>
      <c r="L186">
        <v>259.32240000000002</v>
      </c>
      <c r="M186">
        <v>3400</v>
      </c>
    </row>
    <row r="187" spans="1:13" x14ac:dyDescent="0.25">
      <c r="A187" t="s">
        <v>293</v>
      </c>
      <c r="B187" s="3">
        <v>46208</v>
      </c>
      <c r="C187" t="s">
        <v>112</v>
      </c>
      <c r="D187" t="s">
        <v>294</v>
      </c>
      <c r="E187" t="s">
        <v>133</v>
      </c>
      <c r="F187" t="s">
        <v>454</v>
      </c>
      <c r="G187" s="4">
        <v>94054090</v>
      </c>
      <c r="H187" s="4">
        <v>19</v>
      </c>
      <c r="I187" s="4">
        <v>53.39</v>
      </c>
      <c r="J187">
        <v>1014.41</v>
      </c>
      <c r="K187">
        <v>91.296899999999994</v>
      </c>
      <c r="L187">
        <v>91.296899999999994</v>
      </c>
      <c r="M187">
        <v>1197</v>
      </c>
    </row>
    <row r="188" spans="1:13" x14ac:dyDescent="0.25">
      <c r="A188" t="s">
        <v>293</v>
      </c>
      <c r="B188" s="3">
        <v>46208</v>
      </c>
      <c r="C188" t="s">
        <v>112</v>
      </c>
      <c r="D188" t="s">
        <v>295</v>
      </c>
      <c r="E188" t="s">
        <v>133</v>
      </c>
      <c r="F188" t="s">
        <v>454</v>
      </c>
      <c r="G188" s="4">
        <v>94054090</v>
      </c>
      <c r="H188" s="4">
        <v>18</v>
      </c>
      <c r="I188" s="4">
        <v>53.39</v>
      </c>
      <c r="J188">
        <v>961.02</v>
      </c>
      <c r="K188">
        <v>86.491799999999998</v>
      </c>
      <c r="L188">
        <v>86.491799999999998</v>
      </c>
      <c r="M188">
        <v>1134</v>
      </c>
    </row>
    <row r="189" spans="1:13" x14ac:dyDescent="0.25">
      <c r="A189" t="s">
        <v>293</v>
      </c>
      <c r="B189" s="3">
        <v>46208</v>
      </c>
      <c r="C189" t="s">
        <v>112</v>
      </c>
      <c r="D189" t="s">
        <v>296</v>
      </c>
      <c r="E189" t="s">
        <v>133</v>
      </c>
      <c r="F189" t="s">
        <v>454</v>
      </c>
      <c r="G189" s="4">
        <v>94054090</v>
      </c>
      <c r="H189" s="4">
        <v>15</v>
      </c>
      <c r="I189" s="4">
        <v>53.39</v>
      </c>
      <c r="J189">
        <v>800.85</v>
      </c>
      <c r="K189">
        <v>72.076499999999996</v>
      </c>
      <c r="L189">
        <v>72.076499999999996</v>
      </c>
      <c r="M189">
        <v>945</v>
      </c>
    </row>
    <row r="190" spans="1:13" x14ac:dyDescent="0.25">
      <c r="A190" t="s">
        <v>293</v>
      </c>
      <c r="B190" s="3">
        <v>46208</v>
      </c>
      <c r="C190" t="s">
        <v>112</v>
      </c>
      <c r="D190" t="s">
        <v>297</v>
      </c>
      <c r="E190" t="s">
        <v>133</v>
      </c>
      <c r="F190" t="s">
        <v>454</v>
      </c>
      <c r="G190" s="4">
        <v>94054090</v>
      </c>
      <c r="H190" s="4">
        <v>15</v>
      </c>
      <c r="I190" s="4">
        <v>53.39</v>
      </c>
      <c r="J190">
        <v>800.85</v>
      </c>
      <c r="K190">
        <v>72.076499999999996</v>
      </c>
      <c r="L190">
        <v>72.076499999999996</v>
      </c>
      <c r="M190">
        <v>945</v>
      </c>
    </row>
    <row r="191" spans="1:13" x14ac:dyDescent="0.25">
      <c r="A191" t="s">
        <v>293</v>
      </c>
      <c r="B191" s="3">
        <v>46208</v>
      </c>
      <c r="C191" t="s">
        <v>112</v>
      </c>
      <c r="D191" t="s">
        <v>298</v>
      </c>
      <c r="E191" t="s">
        <v>133</v>
      </c>
      <c r="F191" t="s">
        <v>454</v>
      </c>
      <c r="G191" s="4">
        <v>94054090</v>
      </c>
      <c r="H191" s="4">
        <v>18</v>
      </c>
      <c r="I191" s="4">
        <v>53.39</v>
      </c>
      <c r="J191">
        <v>961.02</v>
      </c>
      <c r="K191">
        <v>86.491799999999998</v>
      </c>
      <c r="L191">
        <v>86.491799999999998</v>
      </c>
      <c r="M191">
        <v>1134</v>
      </c>
    </row>
    <row r="192" spans="1:13" x14ac:dyDescent="0.25">
      <c r="A192" t="s">
        <v>293</v>
      </c>
      <c r="B192" s="3">
        <v>46208</v>
      </c>
      <c r="C192" t="s">
        <v>112</v>
      </c>
      <c r="D192" t="s">
        <v>299</v>
      </c>
      <c r="E192" t="s">
        <v>133</v>
      </c>
      <c r="F192" t="s">
        <v>454</v>
      </c>
      <c r="G192" s="4">
        <v>94054090</v>
      </c>
      <c r="H192" s="4">
        <v>15</v>
      </c>
      <c r="I192" s="4">
        <v>53.39</v>
      </c>
      <c r="J192">
        <v>800.85</v>
      </c>
      <c r="K192">
        <v>72.076499999999996</v>
      </c>
      <c r="L192">
        <v>72.076499999999996</v>
      </c>
      <c r="M192">
        <v>945</v>
      </c>
    </row>
    <row r="193" spans="1:13" x14ac:dyDescent="0.25">
      <c r="A193" t="s">
        <v>293</v>
      </c>
      <c r="B193" s="3">
        <v>46208</v>
      </c>
      <c r="C193" t="s">
        <v>112</v>
      </c>
      <c r="D193" t="s">
        <v>82</v>
      </c>
      <c r="E193" t="s">
        <v>452</v>
      </c>
      <c r="F193" t="s">
        <v>453</v>
      </c>
      <c r="G193" s="4">
        <v>84145120</v>
      </c>
      <c r="H193" s="4">
        <v>4</v>
      </c>
      <c r="I193" s="4">
        <v>1144.06</v>
      </c>
      <c r="J193">
        <v>4576.24</v>
      </c>
      <c r="K193">
        <v>411.86159999999995</v>
      </c>
      <c r="L193">
        <v>411.86159999999995</v>
      </c>
      <c r="M193">
        <v>5400</v>
      </c>
    </row>
    <row r="194" spans="1:13" x14ac:dyDescent="0.25">
      <c r="A194" t="s">
        <v>293</v>
      </c>
      <c r="B194" s="3">
        <v>46208</v>
      </c>
      <c r="C194" t="s">
        <v>112</v>
      </c>
      <c r="D194" t="s">
        <v>143</v>
      </c>
      <c r="E194" t="s">
        <v>452</v>
      </c>
      <c r="F194" t="s">
        <v>453</v>
      </c>
      <c r="G194" s="4">
        <v>84145120</v>
      </c>
      <c r="H194" s="4">
        <v>2</v>
      </c>
      <c r="I194" s="4">
        <v>2118.65</v>
      </c>
      <c r="J194">
        <v>4237.3</v>
      </c>
      <c r="K194">
        <v>381.35700000000003</v>
      </c>
      <c r="L194">
        <v>381.35700000000003</v>
      </c>
      <c r="M194">
        <v>5000</v>
      </c>
    </row>
    <row r="195" spans="1:13" x14ac:dyDescent="0.25">
      <c r="A195" t="s">
        <v>293</v>
      </c>
      <c r="B195" s="3">
        <v>46208</v>
      </c>
      <c r="C195" t="s">
        <v>112</v>
      </c>
      <c r="D195" t="s">
        <v>170</v>
      </c>
      <c r="E195" t="s">
        <v>133</v>
      </c>
      <c r="F195" t="s">
        <v>454</v>
      </c>
      <c r="G195" s="4">
        <v>94054090</v>
      </c>
      <c r="H195" s="4">
        <v>80</v>
      </c>
      <c r="I195" s="4">
        <v>80.510000000000005</v>
      </c>
      <c r="J195">
        <v>6440.8</v>
      </c>
      <c r="K195">
        <v>579.67200000000003</v>
      </c>
      <c r="L195">
        <v>579.67200000000003</v>
      </c>
      <c r="M195">
        <v>7600.1</v>
      </c>
    </row>
    <row r="196" spans="1:13" x14ac:dyDescent="0.25">
      <c r="A196" t="s">
        <v>293</v>
      </c>
      <c r="B196" s="3">
        <v>46208</v>
      </c>
      <c r="C196" t="s">
        <v>112</v>
      </c>
      <c r="D196" t="s">
        <v>237</v>
      </c>
      <c r="E196" t="s">
        <v>133</v>
      </c>
      <c r="F196" t="s">
        <v>454</v>
      </c>
      <c r="G196" s="4">
        <v>94054090</v>
      </c>
      <c r="H196" s="4">
        <v>40</v>
      </c>
      <c r="I196" s="4">
        <v>139.83000000000001</v>
      </c>
      <c r="J196">
        <v>5593.2000000000007</v>
      </c>
      <c r="K196">
        <v>503.38800000000003</v>
      </c>
      <c r="L196">
        <v>503.38800000000003</v>
      </c>
      <c r="M196">
        <v>6600</v>
      </c>
    </row>
    <row r="197" spans="1:13" x14ac:dyDescent="0.25">
      <c r="A197" t="s">
        <v>292</v>
      </c>
      <c r="B197" s="3">
        <v>46204</v>
      </c>
      <c r="C197" t="s">
        <v>42</v>
      </c>
      <c r="D197" t="s">
        <v>152</v>
      </c>
      <c r="E197" t="s">
        <v>452</v>
      </c>
      <c r="F197" t="s">
        <v>454</v>
      </c>
      <c r="G197" s="4">
        <v>94054900</v>
      </c>
      <c r="H197">
        <v>5</v>
      </c>
      <c r="I197">
        <v>889.83</v>
      </c>
      <c r="J197">
        <v>4449.1500000000005</v>
      </c>
      <c r="K197">
        <v>400.42350000000005</v>
      </c>
      <c r="L197">
        <v>400.42350000000005</v>
      </c>
      <c r="M197">
        <v>5250</v>
      </c>
    </row>
    <row r="198" spans="1:13" x14ac:dyDescent="0.25">
      <c r="A198" t="s">
        <v>284</v>
      </c>
      <c r="B198" s="3">
        <v>46204</v>
      </c>
      <c r="C198" t="s">
        <v>112</v>
      </c>
      <c r="D198" t="s">
        <v>285</v>
      </c>
      <c r="E198" t="s">
        <v>133</v>
      </c>
      <c r="F198" t="s">
        <v>454</v>
      </c>
      <c r="G198" s="4">
        <v>94054090</v>
      </c>
      <c r="H198" s="4">
        <v>10</v>
      </c>
      <c r="I198" s="4">
        <v>656.78</v>
      </c>
      <c r="J198">
        <v>6567.7999999999993</v>
      </c>
      <c r="K198">
        <v>591.10199999999986</v>
      </c>
      <c r="L198">
        <v>591.10199999999986</v>
      </c>
      <c r="M198">
        <v>7750</v>
      </c>
    </row>
    <row r="199" spans="1:13" x14ac:dyDescent="0.25">
      <c r="A199" t="s">
        <v>284</v>
      </c>
      <c r="B199" s="3">
        <v>46204</v>
      </c>
      <c r="C199" t="s">
        <v>112</v>
      </c>
      <c r="D199" t="s">
        <v>286</v>
      </c>
      <c r="E199" t="s">
        <v>133</v>
      </c>
      <c r="F199" t="s">
        <v>454</v>
      </c>
      <c r="G199" s="4">
        <v>94054090</v>
      </c>
      <c r="H199" s="4">
        <v>30</v>
      </c>
      <c r="I199" s="4">
        <v>203.39</v>
      </c>
      <c r="J199">
        <v>6101.7</v>
      </c>
      <c r="K199">
        <v>549.15300000000002</v>
      </c>
      <c r="L199">
        <v>549.15300000000002</v>
      </c>
      <c r="M199">
        <v>7200</v>
      </c>
    </row>
    <row r="200" spans="1:13" x14ac:dyDescent="0.25">
      <c r="A200" t="s">
        <v>284</v>
      </c>
      <c r="B200" s="3">
        <v>46204</v>
      </c>
      <c r="C200" t="s">
        <v>112</v>
      </c>
      <c r="D200" t="s">
        <v>287</v>
      </c>
      <c r="E200" t="s">
        <v>133</v>
      </c>
      <c r="F200" t="s">
        <v>454</v>
      </c>
      <c r="G200" s="4">
        <v>94054090</v>
      </c>
      <c r="H200" s="4">
        <v>20</v>
      </c>
      <c r="I200" s="4">
        <v>211.86</v>
      </c>
      <c r="J200">
        <v>4237.2000000000007</v>
      </c>
      <c r="K200">
        <v>381.34800000000007</v>
      </c>
      <c r="L200">
        <v>381.34800000000007</v>
      </c>
      <c r="M200">
        <v>4999.8999999999996</v>
      </c>
    </row>
    <row r="201" spans="1:13" x14ac:dyDescent="0.25">
      <c r="A201" t="s">
        <v>284</v>
      </c>
      <c r="B201" s="3">
        <v>46204</v>
      </c>
      <c r="C201" t="s">
        <v>112</v>
      </c>
      <c r="D201" t="s">
        <v>288</v>
      </c>
      <c r="E201" t="s">
        <v>133</v>
      </c>
      <c r="F201" t="s">
        <v>454</v>
      </c>
      <c r="G201" s="4">
        <v>94054090</v>
      </c>
      <c r="H201" s="4">
        <v>20</v>
      </c>
      <c r="I201" s="4">
        <v>135.59</v>
      </c>
      <c r="J201">
        <v>2711.8</v>
      </c>
      <c r="K201">
        <v>244.06200000000001</v>
      </c>
      <c r="L201">
        <v>244.06200000000001</v>
      </c>
      <c r="M201">
        <v>3199.9</v>
      </c>
    </row>
    <row r="202" spans="1:13" x14ac:dyDescent="0.25">
      <c r="A202" t="s">
        <v>284</v>
      </c>
      <c r="B202" s="3">
        <v>46204</v>
      </c>
      <c r="C202" t="s">
        <v>112</v>
      </c>
      <c r="D202" t="s">
        <v>289</v>
      </c>
      <c r="E202" t="s">
        <v>133</v>
      </c>
      <c r="F202" t="s">
        <v>454</v>
      </c>
      <c r="G202" s="4">
        <v>94054090</v>
      </c>
      <c r="H202" s="4">
        <v>200</v>
      </c>
      <c r="I202" s="4">
        <v>26.27</v>
      </c>
      <c r="J202">
        <v>5254</v>
      </c>
      <c r="K202">
        <v>472.85999999999996</v>
      </c>
      <c r="L202">
        <v>472.85999999999996</v>
      </c>
      <c r="M202">
        <v>6199.7</v>
      </c>
    </row>
    <row r="203" spans="1:13" x14ac:dyDescent="0.25">
      <c r="A203" t="s">
        <v>284</v>
      </c>
      <c r="B203" s="3">
        <v>46204</v>
      </c>
      <c r="C203" t="s">
        <v>112</v>
      </c>
      <c r="D203" t="s">
        <v>289</v>
      </c>
      <c r="E203" t="s">
        <v>133</v>
      </c>
      <c r="F203" t="s">
        <v>454</v>
      </c>
      <c r="G203" s="4">
        <v>94054090</v>
      </c>
      <c r="H203" s="4">
        <v>150</v>
      </c>
      <c r="I203" s="4">
        <v>26.27</v>
      </c>
      <c r="J203">
        <v>3940.5</v>
      </c>
      <c r="K203">
        <v>354.64499999999998</v>
      </c>
      <c r="L203">
        <v>354.64499999999998</v>
      </c>
      <c r="M203">
        <v>4649.8</v>
      </c>
    </row>
    <row r="204" spans="1:13" x14ac:dyDescent="0.25">
      <c r="A204" t="s">
        <v>284</v>
      </c>
      <c r="B204" s="3">
        <v>46204</v>
      </c>
      <c r="C204" t="s">
        <v>112</v>
      </c>
      <c r="D204" t="s">
        <v>290</v>
      </c>
      <c r="E204" t="s">
        <v>133</v>
      </c>
      <c r="F204" t="s">
        <v>454</v>
      </c>
      <c r="G204" s="4">
        <v>94054090</v>
      </c>
      <c r="H204" s="4">
        <v>30</v>
      </c>
      <c r="I204" s="4">
        <v>110.17</v>
      </c>
      <c r="J204">
        <v>3305.1</v>
      </c>
      <c r="K204">
        <v>297.459</v>
      </c>
      <c r="L204">
        <v>297.459</v>
      </c>
      <c r="M204">
        <v>3900</v>
      </c>
    </row>
    <row r="205" spans="1:13" x14ac:dyDescent="0.25">
      <c r="A205" t="s">
        <v>284</v>
      </c>
      <c r="B205" s="3">
        <v>46204</v>
      </c>
      <c r="C205" t="s">
        <v>112</v>
      </c>
      <c r="D205" t="s">
        <v>291</v>
      </c>
      <c r="E205" t="s">
        <v>133</v>
      </c>
      <c r="F205" t="s">
        <v>454</v>
      </c>
      <c r="G205" s="4">
        <v>94054090</v>
      </c>
      <c r="H205" s="4">
        <v>300</v>
      </c>
      <c r="I205" s="4">
        <v>26.27</v>
      </c>
      <c r="J205">
        <v>7881</v>
      </c>
      <c r="K205">
        <v>709.29</v>
      </c>
      <c r="L205">
        <v>709.29</v>
      </c>
      <c r="M205">
        <v>9299.6</v>
      </c>
    </row>
    <row r="206" spans="1:13" x14ac:dyDescent="0.25">
      <c r="A206" t="s">
        <v>283</v>
      </c>
      <c r="B206" s="3">
        <v>46204</v>
      </c>
      <c r="C206" t="s">
        <v>115</v>
      </c>
      <c r="D206" t="s">
        <v>57</v>
      </c>
      <c r="E206" t="s">
        <v>452</v>
      </c>
      <c r="F206" t="s">
        <v>454</v>
      </c>
      <c r="G206" s="4">
        <v>94054900</v>
      </c>
      <c r="H206">
        <v>20</v>
      </c>
      <c r="I206">
        <v>106.78</v>
      </c>
      <c r="J206">
        <v>2135.6</v>
      </c>
      <c r="K206">
        <v>192.20399999999998</v>
      </c>
      <c r="L206">
        <v>192.20399999999998</v>
      </c>
      <c r="M206">
        <v>2520</v>
      </c>
    </row>
    <row r="207" spans="1:13" x14ac:dyDescent="0.25">
      <c r="A207" t="s">
        <v>451</v>
      </c>
      <c r="B207" s="3">
        <v>46203</v>
      </c>
      <c r="C207" t="s">
        <v>42</v>
      </c>
      <c r="D207" t="s">
        <v>55</v>
      </c>
      <c r="E207" t="s">
        <v>452</v>
      </c>
      <c r="F207" t="s">
        <v>454</v>
      </c>
      <c r="G207" s="4">
        <v>94054900</v>
      </c>
      <c r="H207" s="4">
        <v>3</v>
      </c>
      <c r="I207" s="4">
        <v>889.83</v>
      </c>
      <c r="J207">
        <v>2669.4900000000002</v>
      </c>
      <c r="K207">
        <v>240.25410000000002</v>
      </c>
      <c r="L207">
        <v>240.25410000000002</v>
      </c>
      <c r="M207">
        <v>3150</v>
      </c>
    </row>
    <row r="208" spans="1:13" x14ac:dyDescent="0.25">
      <c r="A208" t="s">
        <v>451</v>
      </c>
      <c r="B208" s="3">
        <v>46203</v>
      </c>
      <c r="C208" t="s">
        <v>42</v>
      </c>
      <c r="D208" t="s">
        <v>32</v>
      </c>
      <c r="E208" t="s">
        <v>452</v>
      </c>
      <c r="F208" t="s">
        <v>454</v>
      </c>
      <c r="G208" s="4">
        <v>94054900</v>
      </c>
      <c r="H208" s="4">
        <v>3</v>
      </c>
      <c r="I208" s="4">
        <v>542.37</v>
      </c>
      <c r="J208">
        <v>1627.1100000000001</v>
      </c>
      <c r="K208">
        <v>146.43989999999999</v>
      </c>
      <c r="L208">
        <v>146.43989999999999</v>
      </c>
      <c r="M208">
        <v>1920</v>
      </c>
    </row>
    <row r="209" spans="1:13" x14ac:dyDescent="0.25">
      <c r="A209" t="s">
        <v>450</v>
      </c>
      <c r="B209" s="3">
        <v>46203</v>
      </c>
      <c r="C209" t="s">
        <v>45</v>
      </c>
      <c r="D209" t="s">
        <v>139</v>
      </c>
      <c r="E209" t="s">
        <v>452</v>
      </c>
      <c r="F209" t="s">
        <v>454</v>
      </c>
      <c r="G209" s="4">
        <v>94054900</v>
      </c>
      <c r="H209">
        <v>3</v>
      </c>
      <c r="I209">
        <v>610.16999999999996</v>
      </c>
      <c r="J209">
        <v>1830.5099999999998</v>
      </c>
      <c r="K209">
        <v>164.74589999999998</v>
      </c>
      <c r="L209">
        <v>164.74589999999998</v>
      </c>
      <c r="M209">
        <v>2160</v>
      </c>
    </row>
    <row r="210" spans="1:13" x14ac:dyDescent="0.25">
      <c r="A210" t="s">
        <v>449</v>
      </c>
      <c r="B210" s="3">
        <v>46203</v>
      </c>
      <c r="C210" t="s">
        <v>28</v>
      </c>
      <c r="D210" t="s">
        <v>13</v>
      </c>
      <c r="E210" t="s">
        <v>452</v>
      </c>
      <c r="F210" t="s">
        <v>454</v>
      </c>
      <c r="G210" s="4">
        <v>94054900</v>
      </c>
      <c r="H210">
        <v>20</v>
      </c>
      <c r="I210">
        <v>80.510000000000005</v>
      </c>
      <c r="J210">
        <v>1610.2</v>
      </c>
      <c r="K210">
        <v>144.91800000000001</v>
      </c>
      <c r="L210">
        <v>144.91800000000001</v>
      </c>
      <c r="M210">
        <v>1900</v>
      </c>
    </row>
    <row r="211" spans="1:13" x14ac:dyDescent="0.25">
      <c r="A211" t="s">
        <v>282</v>
      </c>
      <c r="B211" s="3">
        <v>46203</v>
      </c>
      <c r="C211" t="s">
        <v>17</v>
      </c>
      <c r="D211" t="s">
        <v>21</v>
      </c>
      <c r="E211" t="s">
        <v>452</v>
      </c>
      <c r="F211" t="s">
        <v>454</v>
      </c>
      <c r="G211" s="4">
        <v>94054900</v>
      </c>
      <c r="H211">
        <v>10</v>
      </c>
      <c r="I211">
        <v>122.88</v>
      </c>
      <c r="J211">
        <v>1228.8</v>
      </c>
      <c r="K211">
        <v>110.592</v>
      </c>
      <c r="L211">
        <v>110.592</v>
      </c>
      <c r="M211">
        <v>1450</v>
      </c>
    </row>
    <row r="212" spans="1:13" x14ac:dyDescent="0.25">
      <c r="A212" t="s">
        <v>448</v>
      </c>
      <c r="B212" s="3">
        <v>46202</v>
      </c>
      <c r="C212" t="s">
        <v>211</v>
      </c>
      <c r="D212" t="s">
        <v>82</v>
      </c>
      <c r="E212" t="s">
        <v>452</v>
      </c>
      <c r="F212" t="s">
        <v>453</v>
      </c>
      <c r="G212" s="4">
        <v>84145120</v>
      </c>
      <c r="H212" s="4">
        <v>2</v>
      </c>
      <c r="I212" s="4">
        <v>1144.07</v>
      </c>
      <c r="J212">
        <v>2288.14</v>
      </c>
      <c r="K212">
        <v>205.93259999999998</v>
      </c>
      <c r="L212">
        <v>205.93259999999998</v>
      </c>
      <c r="M212">
        <v>2700</v>
      </c>
    </row>
    <row r="213" spans="1:13" x14ac:dyDescent="0.25">
      <c r="A213" t="s">
        <v>447</v>
      </c>
      <c r="B213" s="3">
        <v>46194</v>
      </c>
      <c r="C213" t="s">
        <v>114</v>
      </c>
      <c r="D213" t="s">
        <v>74</v>
      </c>
      <c r="E213" t="s">
        <v>452</v>
      </c>
      <c r="F213" t="s">
        <v>454</v>
      </c>
      <c r="G213" s="4">
        <v>94054900</v>
      </c>
      <c r="H213" s="4">
        <v>31</v>
      </c>
      <c r="I213" s="4">
        <v>120.34</v>
      </c>
      <c r="J213">
        <v>3730.54</v>
      </c>
      <c r="K213">
        <v>335.74860000000001</v>
      </c>
      <c r="L213">
        <v>335.74860000000001</v>
      </c>
      <c r="M213">
        <v>4402</v>
      </c>
    </row>
    <row r="214" spans="1:13" x14ac:dyDescent="0.25">
      <c r="A214" t="s">
        <v>269</v>
      </c>
      <c r="B214" s="3">
        <v>46191</v>
      </c>
      <c r="C214" t="s">
        <v>79</v>
      </c>
      <c r="D214" t="s">
        <v>178</v>
      </c>
      <c r="E214" t="s">
        <v>133</v>
      </c>
      <c r="F214" t="s">
        <v>454</v>
      </c>
      <c r="G214" s="4">
        <v>94054090</v>
      </c>
      <c r="H214" s="4">
        <v>10</v>
      </c>
      <c r="I214" s="4">
        <v>93.22</v>
      </c>
      <c r="J214">
        <v>932.2</v>
      </c>
      <c r="K214">
        <v>83.897999999999996</v>
      </c>
      <c r="L214">
        <v>83.897999999999996</v>
      </c>
      <c r="M214">
        <v>1100</v>
      </c>
    </row>
    <row r="215" spans="1:13" x14ac:dyDescent="0.25">
      <c r="A215" t="s">
        <v>269</v>
      </c>
      <c r="B215" s="3">
        <v>46191</v>
      </c>
      <c r="C215" t="s">
        <v>79</v>
      </c>
      <c r="D215" t="s">
        <v>213</v>
      </c>
      <c r="E215" t="s">
        <v>133</v>
      </c>
      <c r="F215" t="s">
        <v>454</v>
      </c>
      <c r="G215" s="4">
        <v>94054090</v>
      </c>
      <c r="H215" s="4">
        <v>25</v>
      </c>
      <c r="I215" s="4">
        <v>24.58</v>
      </c>
      <c r="J215">
        <v>614.5</v>
      </c>
      <c r="K215">
        <v>55.305</v>
      </c>
      <c r="L215">
        <v>55.305</v>
      </c>
      <c r="M215">
        <v>725.1</v>
      </c>
    </row>
    <row r="216" spans="1:13" x14ac:dyDescent="0.25">
      <c r="A216" t="s">
        <v>269</v>
      </c>
      <c r="B216" s="3">
        <v>46191</v>
      </c>
      <c r="C216" t="s">
        <v>79</v>
      </c>
      <c r="D216" t="s">
        <v>228</v>
      </c>
      <c r="E216" t="s">
        <v>133</v>
      </c>
      <c r="F216" t="s">
        <v>454</v>
      </c>
      <c r="G216" s="4">
        <v>94054090</v>
      </c>
      <c r="H216" s="4">
        <v>25</v>
      </c>
      <c r="I216" s="4">
        <v>27.97</v>
      </c>
      <c r="J216">
        <v>699.25</v>
      </c>
      <c r="K216">
        <v>62.932499999999997</v>
      </c>
      <c r="L216">
        <v>62.932499999999997</v>
      </c>
      <c r="M216">
        <v>825.1</v>
      </c>
    </row>
    <row r="217" spans="1:13" x14ac:dyDescent="0.25">
      <c r="A217" t="s">
        <v>269</v>
      </c>
      <c r="B217" s="3">
        <v>46191</v>
      </c>
      <c r="C217" t="s">
        <v>79</v>
      </c>
      <c r="D217" t="s">
        <v>193</v>
      </c>
      <c r="E217" t="s">
        <v>133</v>
      </c>
      <c r="F217" t="s">
        <v>454</v>
      </c>
      <c r="G217" s="4">
        <v>94054090</v>
      </c>
      <c r="H217" s="4">
        <v>4</v>
      </c>
      <c r="I217" s="4">
        <v>105.93</v>
      </c>
      <c r="J217">
        <v>423.72</v>
      </c>
      <c r="K217">
        <v>38.134799999999998</v>
      </c>
      <c r="L217">
        <v>38.134799999999998</v>
      </c>
      <c r="M217">
        <v>500</v>
      </c>
    </row>
    <row r="218" spans="1:13" x14ac:dyDescent="0.25">
      <c r="A218" t="s">
        <v>269</v>
      </c>
      <c r="B218" s="3">
        <v>46191</v>
      </c>
      <c r="C218" t="s">
        <v>79</v>
      </c>
      <c r="D218" t="s">
        <v>255</v>
      </c>
      <c r="E218" t="s">
        <v>452</v>
      </c>
      <c r="F218" t="s">
        <v>453</v>
      </c>
      <c r="G218" s="4">
        <v>84145120</v>
      </c>
      <c r="H218" s="4">
        <v>1</v>
      </c>
      <c r="I218" s="4">
        <v>1949.15</v>
      </c>
      <c r="J218">
        <v>1949.15</v>
      </c>
      <c r="K218">
        <v>175.42349999999999</v>
      </c>
      <c r="L218">
        <v>175.42349999999999</v>
      </c>
      <c r="M218">
        <v>2300</v>
      </c>
    </row>
    <row r="219" spans="1:13" x14ac:dyDescent="0.25">
      <c r="A219" t="s">
        <v>269</v>
      </c>
      <c r="B219" s="3">
        <v>46191</v>
      </c>
      <c r="C219" t="s">
        <v>79</v>
      </c>
      <c r="D219" t="s">
        <v>89</v>
      </c>
      <c r="E219" t="s">
        <v>452</v>
      </c>
      <c r="F219" t="s">
        <v>453</v>
      </c>
      <c r="G219" s="4">
        <v>84145120</v>
      </c>
      <c r="H219" s="4">
        <v>1</v>
      </c>
      <c r="I219" s="4">
        <v>1949.15</v>
      </c>
      <c r="J219">
        <v>1949.15</v>
      </c>
      <c r="K219">
        <v>175.42349999999999</v>
      </c>
      <c r="L219">
        <v>175.42349999999999</v>
      </c>
      <c r="M219">
        <v>2300</v>
      </c>
    </row>
    <row r="220" spans="1:13" x14ac:dyDescent="0.25">
      <c r="A220" t="s">
        <v>269</v>
      </c>
      <c r="B220" s="3">
        <v>46191</v>
      </c>
      <c r="C220" t="s">
        <v>79</v>
      </c>
      <c r="D220" t="s">
        <v>178</v>
      </c>
      <c r="E220" t="s">
        <v>133</v>
      </c>
      <c r="F220" t="s">
        <v>454</v>
      </c>
      <c r="G220" s="4">
        <v>94054090</v>
      </c>
      <c r="H220" s="4">
        <v>15</v>
      </c>
      <c r="I220" s="4">
        <v>93.22</v>
      </c>
      <c r="J220">
        <v>1398.3</v>
      </c>
      <c r="K220">
        <v>125.84699999999999</v>
      </c>
      <c r="L220">
        <v>125.84699999999999</v>
      </c>
      <c r="M220">
        <v>1650</v>
      </c>
    </row>
    <row r="221" spans="1:13" x14ac:dyDescent="0.25">
      <c r="A221" t="s">
        <v>269</v>
      </c>
      <c r="B221" s="3">
        <v>46191</v>
      </c>
      <c r="C221" t="s">
        <v>79</v>
      </c>
      <c r="D221" t="s">
        <v>191</v>
      </c>
      <c r="E221" t="s">
        <v>133</v>
      </c>
      <c r="F221" t="s">
        <v>454</v>
      </c>
      <c r="G221" s="4">
        <v>94054090</v>
      </c>
      <c r="H221" s="4">
        <v>11</v>
      </c>
      <c r="I221" s="4">
        <v>203.39</v>
      </c>
      <c r="J221">
        <v>2237.29</v>
      </c>
      <c r="K221">
        <v>201.3561</v>
      </c>
      <c r="L221">
        <v>201.3561</v>
      </c>
      <c r="M221">
        <v>2640</v>
      </c>
    </row>
    <row r="222" spans="1:13" x14ac:dyDescent="0.25">
      <c r="A222" t="s">
        <v>269</v>
      </c>
      <c r="B222" s="3">
        <v>46191</v>
      </c>
      <c r="C222" t="s">
        <v>79</v>
      </c>
      <c r="D222" t="s">
        <v>270</v>
      </c>
      <c r="E222" t="s">
        <v>133</v>
      </c>
      <c r="F222" t="s">
        <v>454</v>
      </c>
      <c r="G222" s="4">
        <v>94054090</v>
      </c>
      <c r="H222" s="4">
        <v>1</v>
      </c>
      <c r="I222" s="4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t="s">
        <v>269</v>
      </c>
      <c r="B223" s="3">
        <v>46191</v>
      </c>
      <c r="C223" t="s">
        <v>79</v>
      </c>
      <c r="D223" t="s">
        <v>271</v>
      </c>
      <c r="E223" t="s">
        <v>452</v>
      </c>
      <c r="F223" t="s">
        <v>453</v>
      </c>
      <c r="G223" s="4">
        <v>84145120</v>
      </c>
      <c r="H223" s="4">
        <v>1</v>
      </c>
      <c r="I223" s="4">
        <v>1949.15</v>
      </c>
      <c r="J223">
        <v>1949.15</v>
      </c>
      <c r="K223">
        <v>175.42349999999999</v>
      </c>
      <c r="L223">
        <v>175.42349999999999</v>
      </c>
      <c r="M223">
        <v>2300</v>
      </c>
    </row>
    <row r="224" spans="1:13" x14ac:dyDescent="0.25">
      <c r="A224" t="s">
        <v>446</v>
      </c>
      <c r="B224" s="3">
        <v>46190</v>
      </c>
      <c r="C224" t="s">
        <v>42</v>
      </c>
      <c r="D224" t="s">
        <v>186</v>
      </c>
      <c r="E224" t="s">
        <v>133</v>
      </c>
      <c r="F224" t="s">
        <v>454</v>
      </c>
      <c r="G224" s="4">
        <v>94054090</v>
      </c>
      <c r="H224">
        <v>5</v>
      </c>
      <c r="I224">
        <v>148.30000000000001</v>
      </c>
      <c r="J224">
        <v>741.5</v>
      </c>
      <c r="K224">
        <v>66.734999999999999</v>
      </c>
      <c r="L224">
        <v>66.734999999999999</v>
      </c>
      <c r="M224">
        <v>875</v>
      </c>
    </row>
    <row r="225" spans="1:13" x14ac:dyDescent="0.25">
      <c r="A225" t="s">
        <v>446</v>
      </c>
      <c r="B225" s="3">
        <v>46190</v>
      </c>
      <c r="C225" t="s">
        <v>42</v>
      </c>
      <c r="D225" t="s">
        <v>278</v>
      </c>
      <c r="E225" t="s">
        <v>133</v>
      </c>
      <c r="F225" t="s">
        <v>454</v>
      </c>
      <c r="G225" s="4">
        <v>94054090</v>
      </c>
      <c r="H225">
        <v>10</v>
      </c>
      <c r="I225">
        <v>139.4</v>
      </c>
      <c r="J225">
        <v>1394</v>
      </c>
      <c r="K225">
        <v>125.46</v>
      </c>
      <c r="L225">
        <v>125.46</v>
      </c>
      <c r="M225">
        <v>1644.9</v>
      </c>
    </row>
    <row r="226" spans="1:13" x14ac:dyDescent="0.25">
      <c r="A226" t="s">
        <v>446</v>
      </c>
      <c r="B226" s="3">
        <v>46190</v>
      </c>
      <c r="C226" t="s">
        <v>42</v>
      </c>
      <c r="D226" t="s">
        <v>16</v>
      </c>
      <c r="E226" t="s">
        <v>452</v>
      </c>
      <c r="F226" t="s">
        <v>454</v>
      </c>
      <c r="G226" s="4">
        <v>94054900</v>
      </c>
      <c r="H226">
        <v>10</v>
      </c>
      <c r="I226">
        <v>194.92</v>
      </c>
      <c r="J226">
        <v>1949.1999999999998</v>
      </c>
      <c r="K226">
        <v>175.42799999999997</v>
      </c>
      <c r="L226">
        <v>175.42799999999997</v>
      </c>
      <c r="M226">
        <v>2300.1</v>
      </c>
    </row>
    <row r="227" spans="1:13" x14ac:dyDescent="0.25">
      <c r="A227" t="s">
        <v>446</v>
      </c>
      <c r="B227" s="3">
        <v>46190</v>
      </c>
      <c r="C227" t="s">
        <v>42</v>
      </c>
      <c r="D227" t="s">
        <v>164</v>
      </c>
      <c r="E227" t="s">
        <v>452</v>
      </c>
      <c r="F227" t="s">
        <v>454</v>
      </c>
      <c r="G227" s="4">
        <v>94054900</v>
      </c>
      <c r="H227">
        <v>10</v>
      </c>
      <c r="I227">
        <v>364.41</v>
      </c>
      <c r="J227">
        <v>3644.1000000000004</v>
      </c>
      <c r="K227">
        <v>327.96899999999999</v>
      </c>
      <c r="L227">
        <v>327.96899999999999</v>
      </c>
      <c r="M227">
        <v>4300</v>
      </c>
    </row>
    <row r="228" spans="1:13" x14ac:dyDescent="0.25">
      <c r="A228" t="s">
        <v>445</v>
      </c>
      <c r="B228" s="3">
        <v>46190</v>
      </c>
      <c r="C228" t="s">
        <v>115</v>
      </c>
      <c r="D228" t="s">
        <v>139</v>
      </c>
      <c r="E228" t="s">
        <v>452</v>
      </c>
      <c r="F228" t="s">
        <v>454</v>
      </c>
      <c r="G228" s="4">
        <v>94054900</v>
      </c>
      <c r="H228">
        <v>5</v>
      </c>
      <c r="I228">
        <v>678.81</v>
      </c>
      <c r="J228">
        <v>3394.0499999999997</v>
      </c>
      <c r="K228">
        <v>305.46449999999999</v>
      </c>
      <c r="L228">
        <v>305.46449999999999</v>
      </c>
      <c r="M228">
        <v>4005</v>
      </c>
    </row>
    <row r="229" spans="1:13" x14ac:dyDescent="0.25">
      <c r="A229" t="s">
        <v>261</v>
      </c>
      <c r="B229" s="3">
        <v>46190</v>
      </c>
      <c r="C229" t="s">
        <v>112</v>
      </c>
      <c r="D229" t="s">
        <v>218</v>
      </c>
      <c r="E229" t="s">
        <v>133</v>
      </c>
      <c r="F229" t="s">
        <v>454</v>
      </c>
      <c r="G229" s="4">
        <v>94054090</v>
      </c>
      <c r="H229" s="4">
        <v>30</v>
      </c>
      <c r="I229" s="4">
        <v>101.69</v>
      </c>
      <c r="J229">
        <v>3050.7</v>
      </c>
      <c r="K229">
        <v>274.56299999999999</v>
      </c>
      <c r="L229">
        <v>274.56299999999999</v>
      </c>
      <c r="M229">
        <v>3599.8</v>
      </c>
    </row>
    <row r="230" spans="1:13" x14ac:dyDescent="0.25">
      <c r="A230" t="s">
        <v>261</v>
      </c>
      <c r="B230" s="3">
        <v>46190</v>
      </c>
      <c r="C230" t="s">
        <v>112</v>
      </c>
      <c r="D230" t="s">
        <v>262</v>
      </c>
      <c r="E230" t="s">
        <v>133</v>
      </c>
      <c r="F230" t="s">
        <v>454</v>
      </c>
      <c r="G230" s="4">
        <v>94054090</v>
      </c>
      <c r="H230" s="4">
        <v>24</v>
      </c>
      <c r="I230" s="4">
        <v>20.34</v>
      </c>
      <c r="J230">
        <v>488.15999999999997</v>
      </c>
      <c r="K230">
        <v>43.934399999999997</v>
      </c>
      <c r="L230">
        <v>43.934399999999997</v>
      </c>
      <c r="M230">
        <v>576</v>
      </c>
    </row>
    <row r="231" spans="1:13" x14ac:dyDescent="0.25">
      <c r="A231" t="s">
        <v>261</v>
      </c>
      <c r="B231" s="3">
        <v>46190</v>
      </c>
      <c r="C231" t="s">
        <v>112</v>
      </c>
      <c r="D231" t="s">
        <v>263</v>
      </c>
      <c r="E231" t="s">
        <v>133</v>
      </c>
      <c r="F231" t="s">
        <v>454</v>
      </c>
      <c r="G231" s="4">
        <v>94054090</v>
      </c>
      <c r="H231" s="4">
        <v>18</v>
      </c>
      <c r="I231" s="4">
        <v>19.920000000000002</v>
      </c>
      <c r="J231">
        <v>358.56000000000006</v>
      </c>
      <c r="K231">
        <v>32.270400000000002</v>
      </c>
      <c r="L231">
        <v>32.270400000000002</v>
      </c>
      <c r="M231">
        <v>423.1</v>
      </c>
    </row>
    <row r="232" spans="1:13" x14ac:dyDescent="0.25">
      <c r="A232" t="s">
        <v>261</v>
      </c>
      <c r="B232" s="3">
        <v>46190</v>
      </c>
      <c r="C232" t="s">
        <v>112</v>
      </c>
      <c r="D232" t="s">
        <v>264</v>
      </c>
      <c r="E232" t="s">
        <v>133</v>
      </c>
      <c r="F232" t="s">
        <v>454</v>
      </c>
      <c r="G232" s="4">
        <v>94054090</v>
      </c>
      <c r="H232" s="4">
        <v>18</v>
      </c>
      <c r="I232" s="4">
        <v>19.920000000000002</v>
      </c>
      <c r="J232">
        <v>358.56000000000006</v>
      </c>
      <c r="K232">
        <v>32.270400000000002</v>
      </c>
      <c r="L232">
        <v>32.270400000000002</v>
      </c>
      <c r="M232">
        <v>423.1</v>
      </c>
    </row>
    <row r="233" spans="1:13" x14ac:dyDescent="0.25">
      <c r="A233" t="s">
        <v>261</v>
      </c>
      <c r="B233" s="3">
        <v>46190</v>
      </c>
      <c r="C233" t="s">
        <v>112</v>
      </c>
      <c r="D233" t="s">
        <v>265</v>
      </c>
      <c r="E233" t="s">
        <v>133</v>
      </c>
      <c r="F233" t="s">
        <v>454</v>
      </c>
      <c r="G233" s="4">
        <v>94052090</v>
      </c>
      <c r="H233" s="4">
        <v>250</v>
      </c>
      <c r="I233" s="4">
        <v>184.5</v>
      </c>
      <c r="J233">
        <v>46125</v>
      </c>
      <c r="K233">
        <v>4151.25</v>
      </c>
      <c r="L233">
        <v>4151.25</v>
      </c>
      <c r="M233">
        <v>54427.5</v>
      </c>
    </row>
    <row r="234" spans="1:13" x14ac:dyDescent="0.25">
      <c r="A234" t="s">
        <v>261</v>
      </c>
      <c r="B234" s="3">
        <v>46190</v>
      </c>
      <c r="C234" t="s">
        <v>112</v>
      </c>
      <c r="D234" t="s">
        <v>266</v>
      </c>
      <c r="E234" t="s">
        <v>133</v>
      </c>
      <c r="F234" t="s">
        <v>454</v>
      </c>
      <c r="G234" s="4">
        <v>94054090</v>
      </c>
      <c r="H234" s="4">
        <v>1</v>
      </c>
      <c r="I234" s="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261</v>
      </c>
      <c r="B235" s="3">
        <v>46190</v>
      </c>
      <c r="C235" t="s">
        <v>112</v>
      </c>
      <c r="D235" t="s">
        <v>267</v>
      </c>
      <c r="E235" t="s">
        <v>133</v>
      </c>
      <c r="F235" t="s">
        <v>454</v>
      </c>
      <c r="G235" s="4">
        <v>94054090</v>
      </c>
      <c r="H235" s="4">
        <v>1</v>
      </c>
      <c r="I235" s="4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">
        <v>261</v>
      </c>
      <c r="B236" s="3">
        <v>46190</v>
      </c>
      <c r="C236" t="s">
        <v>112</v>
      </c>
      <c r="D236" t="s">
        <v>191</v>
      </c>
      <c r="E236" t="s">
        <v>133</v>
      </c>
      <c r="F236" t="s">
        <v>454</v>
      </c>
      <c r="G236" s="4">
        <v>94054090</v>
      </c>
      <c r="H236" s="4">
        <v>20</v>
      </c>
      <c r="I236" s="4">
        <v>190.67</v>
      </c>
      <c r="J236">
        <v>3813.3999999999996</v>
      </c>
      <c r="K236">
        <v>343.20599999999996</v>
      </c>
      <c r="L236">
        <v>343.20599999999996</v>
      </c>
      <c r="M236">
        <v>4499.8</v>
      </c>
    </row>
    <row r="237" spans="1:13" x14ac:dyDescent="0.25">
      <c r="A237" t="s">
        <v>261</v>
      </c>
      <c r="B237" s="3">
        <v>46190</v>
      </c>
      <c r="C237" t="s">
        <v>112</v>
      </c>
      <c r="D237" t="s">
        <v>234</v>
      </c>
      <c r="E237" t="s">
        <v>133</v>
      </c>
      <c r="F237" t="s">
        <v>454</v>
      </c>
      <c r="G237" s="4">
        <v>94054090</v>
      </c>
      <c r="H237" s="4">
        <v>5</v>
      </c>
      <c r="I237" s="4">
        <v>1148.31</v>
      </c>
      <c r="J237">
        <v>5741.5499999999993</v>
      </c>
      <c r="K237">
        <v>516.73949999999991</v>
      </c>
      <c r="L237">
        <v>516.73949999999991</v>
      </c>
      <c r="M237">
        <v>6775</v>
      </c>
    </row>
    <row r="238" spans="1:13" x14ac:dyDescent="0.25">
      <c r="A238" t="s">
        <v>261</v>
      </c>
      <c r="B238" s="3">
        <v>46190</v>
      </c>
      <c r="C238" t="s">
        <v>112</v>
      </c>
      <c r="D238" t="s">
        <v>268</v>
      </c>
      <c r="E238" t="s">
        <v>133</v>
      </c>
      <c r="F238" t="s">
        <v>454</v>
      </c>
      <c r="G238" s="4">
        <v>94054090</v>
      </c>
      <c r="H238" s="4">
        <v>3</v>
      </c>
      <c r="I238" s="4">
        <v>427.97</v>
      </c>
      <c r="J238">
        <v>1283.9100000000001</v>
      </c>
      <c r="K238">
        <v>115.5519</v>
      </c>
      <c r="L238">
        <v>115.5519</v>
      </c>
      <c r="M238">
        <v>1515</v>
      </c>
    </row>
    <row r="239" spans="1:13" x14ac:dyDescent="0.25">
      <c r="A239" t="s">
        <v>443</v>
      </c>
      <c r="B239" s="3">
        <v>46187</v>
      </c>
      <c r="C239" t="s">
        <v>320</v>
      </c>
      <c r="D239" t="s">
        <v>444</v>
      </c>
      <c r="E239" t="s">
        <v>133</v>
      </c>
      <c r="F239" t="s">
        <v>454</v>
      </c>
      <c r="G239" s="4">
        <v>94054090</v>
      </c>
      <c r="H239" s="4">
        <v>34</v>
      </c>
      <c r="I239" s="4">
        <v>139.83000000000001</v>
      </c>
      <c r="J239">
        <v>4754.22</v>
      </c>
      <c r="K239">
        <v>427.87979999999999</v>
      </c>
      <c r="L239">
        <v>427.87979999999999</v>
      </c>
      <c r="M239">
        <v>5610</v>
      </c>
    </row>
    <row r="240" spans="1:13" x14ac:dyDescent="0.25">
      <c r="A240" t="s">
        <v>443</v>
      </c>
      <c r="B240" s="3">
        <v>46187</v>
      </c>
      <c r="C240" t="s">
        <v>320</v>
      </c>
      <c r="D240" t="s">
        <v>178</v>
      </c>
      <c r="E240" t="s">
        <v>133</v>
      </c>
      <c r="F240" t="s">
        <v>454</v>
      </c>
      <c r="G240" s="4">
        <v>94054090</v>
      </c>
      <c r="H240" s="4">
        <v>80</v>
      </c>
      <c r="I240" s="4">
        <v>80.510000000000005</v>
      </c>
      <c r="J240">
        <v>6440.8</v>
      </c>
      <c r="K240">
        <v>579.67200000000003</v>
      </c>
      <c r="L240">
        <v>579.67200000000003</v>
      </c>
      <c r="M240">
        <v>7600.1</v>
      </c>
    </row>
    <row r="241" spans="1:13" x14ac:dyDescent="0.25">
      <c r="A241" t="s">
        <v>260</v>
      </c>
      <c r="B241" s="3">
        <v>46186</v>
      </c>
      <c r="C241" t="s">
        <v>103</v>
      </c>
      <c r="D241" t="s">
        <v>191</v>
      </c>
      <c r="E241" t="s">
        <v>133</v>
      </c>
      <c r="F241" t="s">
        <v>454</v>
      </c>
      <c r="G241" s="4">
        <v>94054090</v>
      </c>
      <c r="H241" s="4">
        <v>5</v>
      </c>
      <c r="I241" s="4">
        <v>207.63</v>
      </c>
      <c r="J241">
        <v>1038.1500000000001</v>
      </c>
      <c r="K241">
        <v>93.433500000000009</v>
      </c>
      <c r="L241">
        <v>93.433500000000009</v>
      </c>
      <c r="M241">
        <v>1225</v>
      </c>
    </row>
    <row r="242" spans="1:13" x14ac:dyDescent="0.25">
      <c r="A242" t="s">
        <v>442</v>
      </c>
      <c r="B242" s="3">
        <v>46185</v>
      </c>
      <c r="C242" t="s">
        <v>65</v>
      </c>
      <c r="D242" t="s">
        <v>35</v>
      </c>
      <c r="E242" t="s">
        <v>452</v>
      </c>
      <c r="F242" t="s">
        <v>454</v>
      </c>
      <c r="G242" s="4">
        <v>94054900</v>
      </c>
      <c r="H242" s="4">
        <v>50</v>
      </c>
      <c r="I242" s="4">
        <v>27.12</v>
      </c>
      <c r="J242">
        <v>1356</v>
      </c>
      <c r="K242">
        <v>122.03999999999999</v>
      </c>
      <c r="L242">
        <v>122.03999999999999</v>
      </c>
      <c r="M242">
        <v>1600.1</v>
      </c>
    </row>
    <row r="243" spans="1:13" x14ac:dyDescent="0.25">
      <c r="A243" t="s">
        <v>442</v>
      </c>
      <c r="B243" s="3">
        <v>46185</v>
      </c>
      <c r="C243" t="s">
        <v>65</v>
      </c>
      <c r="D243" t="s">
        <v>26</v>
      </c>
      <c r="E243" t="s">
        <v>452</v>
      </c>
      <c r="F243" t="s">
        <v>454</v>
      </c>
      <c r="G243" s="4">
        <v>94054900</v>
      </c>
      <c r="H243" s="4">
        <v>50</v>
      </c>
      <c r="I243" s="4">
        <v>59.32</v>
      </c>
      <c r="J243">
        <v>2966</v>
      </c>
      <c r="K243">
        <v>266.94</v>
      </c>
      <c r="L243">
        <v>266.94</v>
      </c>
      <c r="M243">
        <v>3499.9</v>
      </c>
    </row>
    <row r="244" spans="1:13" x14ac:dyDescent="0.25">
      <c r="A244" t="s">
        <v>441</v>
      </c>
      <c r="B244" s="3">
        <v>46185</v>
      </c>
      <c r="C244" t="s">
        <v>114</v>
      </c>
      <c r="D244" t="s">
        <v>54</v>
      </c>
      <c r="E244" t="s">
        <v>452</v>
      </c>
      <c r="F244" t="s">
        <v>454</v>
      </c>
      <c r="G244" s="4">
        <v>94054900</v>
      </c>
      <c r="H244" s="4">
        <v>20</v>
      </c>
      <c r="I244" s="4">
        <v>135.59</v>
      </c>
      <c r="J244">
        <v>2711.8</v>
      </c>
      <c r="K244">
        <v>244.06200000000001</v>
      </c>
      <c r="L244">
        <v>244.06200000000001</v>
      </c>
      <c r="M244">
        <v>3199.9</v>
      </c>
    </row>
    <row r="245" spans="1:13" x14ac:dyDescent="0.25">
      <c r="A245" t="s">
        <v>441</v>
      </c>
      <c r="B245" s="3">
        <v>46185</v>
      </c>
      <c r="C245" t="s">
        <v>114</v>
      </c>
      <c r="D245" t="s">
        <v>64</v>
      </c>
      <c r="E245" t="s">
        <v>452</v>
      </c>
      <c r="F245" t="s">
        <v>454</v>
      </c>
      <c r="G245" s="4">
        <v>94054900</v>
      </c>
      <c r="H245" s="4">
        <v>10</v>
      </c>
      <c r="I245" s="4">
        <v>177.97</v>
      </c>
      <c r="J245">
        <v>1779.7</v>
      </c>
      <c r="K245">
        <v>160.173</v>
      </c>
      <c r="L245">
        <v>160.173</v>
      </c>
      <c r="M245">
        <v>2100</v>
      </c>
    </row>
    <row r="246" spans="1:13" x14ac:dyDescent="0.25">
      <c r="A246" t="s">
        <v>440</v>
      </c>
      <c r="B246" s="3">
        <v>46184</v>
      </c>
      <c r="C246" t="s">
        <v>25</v>
      </c>
      <c r="D246" t="s">
        <v>59</v>
      </c>
      <c r="E246" t="s">
        <v>452</v>
      </c>
      <c r="F246" t="s">
        <v>454</v>
      </c>
      <c r="G246" s="4">
        <v>94054900</v>
      </c>
      <c r="H246">
        <v>10</v>
      </c>
      <c r="I246">
        <v>224.58</v>
      </c>
      <c r="J246">
        <v>2245.8000000000002</v>
      </c>
      <c r="K246">
        <v>202.12200000000001</v>
      </c>
      <c r="L246">
        <v>202.12200000000001</v>
      </c>
      <c r="M246">
        <v>2650</v>
      </c>
    </row>
    <row r="247" spans="1:13" x14ac:dyDescent="0.25">
      <c r="A247" t="s">
        <v>439</v>
      </c>
      <c r="B247" s="3">
        <v>46184</v>
      </c>
      <c r="C247" t="s">
        <v>22</v>
      </c>
      <c r="D247" t="s">
        <v>54</v>
      </c>
      <c r="E247" t="s">
        <v>452</v>
      </c>
      <c r="F247" t="s">
        <v>454</v>
      </c>
      <c r="G247" s="4">
        <v>94054900</v>
      </c>
      <c r="H247">
        <v>15</v>
      </c>
      <c r="I247">
        <v>131.36000000000001</v>
      </c>
      <c r="J247">
        <v>1970.4</v>
      </c>
      <c r="K247">
        <v>177.33600000000001</v>
      </c>
      <c r="L247">
        <v>177.33600000000001</v>
      </c>
      <c r="M247">
        <v>2325.1</v>
      </c>
    </row>
    <row r="248" spans="1:13" x14ac:dyDescent="0.25">
      <c r="A248" t="s">
        <v>438</v>
      </c>
      <c r="B248" s="3">
        <v>46184</v>
      </c>
      <c r="C248" t="s">
        <v>115</v>
      </c>
      <c r="D248" t="s">
        <v>47</v>
      </c>
      <c r="E248" t="s">
        <v>452</v>
      </c>
      <c r="F248" t="s">
        <v>454</v>
      </c>
      <c r="G248" s="4">
        <v>94054900</v>
      </c>
      <c r="H248">
        <v>72</v>
      </c>
      <c r="I248">
        <v>206.78</v>
      </c>
      <c r="J248">
        <v>14888.16</v>
      </c>
      <c r="K248">
        <v>1339.9343999999999</v>
      </c>
      <c r="L248">
        <v>1339.9343999999999</v>
      </c>
      <c r="M248">
        <v>17568</v>
      </c>
    </row>
    <row r="249" spans="1:13" x14ac:dyDescent="0.25">
      <c r="A249" t="s">
        <v>438</v>
      </c>
      <c r="B249" s="3">
        <v>46184</v>
      </c>
      <c r="C249" t="s">
        <v>115</v>
      </c>
      <c r="D249" t="s">
        <v>13</v>
      </c>
      <c r="E249" t="s">
        <v>452</v>
      </c>
      <c r="F249" t="s">
        <v>454</v>
      </c>
      <c r="G249" s="4">
        <v>94054900</v>
      </c>
      <c r="H249">
        <v>140</v>
      </c>
      <c r="I249">
        <v>76.27</v>
      </c>
      <c r="J249">
        <v>10677.8</v>
      </c>
      <c r="K249">
        <v>961.00199999999995</v>
      </c>
      <c r="L249">
        <v>961.00199999999995</v>
      </c>
      <c r="M249">
        <v>12599.8</v>
      </c>
    </row>
    <row r="250" spans="1:13" x14ac:dyDescent="0.25">
      <c r="A250" t="s">
        <v>438</v>
      </c>
      <c r="B250" s="3">
        <v>46184</v>
      </c>
      <c r="C250" t="s">
        <v>115</v>
      </c>
      <c r="D250" t="s">
        <v>59</v>
      </c>
      <c r="E250" t="s">
        <v>452</v>
      </c>
      <c r="F250" t="s">
        <v>454</v>
      </c>
      <c r="G250" s="4">
        <v>94054900</v>
      </c>
      <c r="H250">
        <v>40</v>
      </c>
      <c r="I250">
        <v>221.19</v>
      </c>
      <c r="J250">
        <v>8847.6</v>
      </c>
      <c r="K250">
        <v>796.28399999999999</v>
      </c>
      <c r="L250">
        <v>796.28399999999999</v>
      </c>
      <c r="M250">
        <v>10440.200000000001</v>
      </c>
    </row>
    <row r="251" spans="1:13" x14ac:dyDescent="0.25">
      <c r="A251" t="s">
        <v>438</v>
      </c>
      <c r="B251" s="3">
        <v>46184</v>
      </c>
      <c r="C251" t="s">
        <v>115</v>
      </c>
      <c r="D251" t="s">
        <v>117</v>
      </c>
      <c r="E251" t="s">
        <v>452</v>
      </c>
      <c r="F251" t="s">
        <v>454</v>
      </c>
      <c r="G251" s="4">
        <v>94054900</v>
      </c>
      <c r="H251">
        <v>40</v>
      </c>
      <c r="I251">
        <v>80.510000000000005</v>
      </c>
      <c r="J251">
        <v>3220.4</v>
      </c>
      <c r="K251">
        <v>289.83600000000001</v>
      </c>
      <c r="L251">
        <v>289.83600000000001</v>
      </c>
      <c r="M251">
        <v>3800.1</v>
      </c>
    </row>
    <row r="252" spans="1:13" x14ac:dyDescent="0.25">
      <c r="A252" t="s">
        <v>438</v>
      </c>
      <c r="B252" s="3">
        <v>46184</v>
      </c>
      <c r="C252" t="s">
        <v>115</v>
      </c>
      <c r="D252" t="s">
        <v>74</v>
      </c>
      <c r="E252" t="s">
        <v>452</v>
      </c>
      <c r="F252" t="s">
        <v>454</v>
      </c>
      <c r="G252" s="4">
        <v>94054900</v>
      </c>
      <c r="H252">
        <v>10</v>
      </c>
      <c r="I252">
        <v>113.56</v>
      </c>
      <c r="J252">
        <v>1135.5999999999999</v>
      </c>
      <c r="K252">
        <v>102.20399999999999</v>
      </c>
      <c r="L252">
        <v>102.20399999999999</v>
      </c>
      <c r="M252">
        <v>1340</v>
      </c>
    </row>
    <row r="253" spans="1:13" x14ac:dyDescent="0.25">
      <c r="A253" t="s">
        <v>438</v>
      </c>
      <c r="B253" s="3">
        <v>46184</v>
      </c>
      <c r="C253" t="s">
        <v>115</v>
      </c>
      <c r="D253" t="s">
        <v>122</v>
      </c>
      <c r="E253" t="s">
        <v>452</v>
      </c>
      <c r="F253" t="s">
        <v>454</v>
      </c>
      <c r="G253" s="4">
        <v>94054900</v>
      </c>
      <c r="H253">
        <v>30</v>
      </c>
      <c r="I253">
        <v>127.12</v>
      </c>
      <c r="J253">
        <v>3813.6000000000004</v>
      </c>
      <c r="K253">
        <v>343.22400000000005</v>
      </c>
      <c r="L253">
        <v>343.22400000000005</v>
      </c>
      <c r="M253">
        <v>4500</v>
      </c>
    </row>
    <row r="254" spans="1:13" x14ac:dyDescent="0.25">
      <c r="A254" t="s">
        <v>438</v>
      </c>
      <c r="B254" s="3">
        <v>46184</v>
      </c>
      <c r="C254" t="s">
        <v>115</v>
      </c>
      <c r="D254" t="s">
        <v>46</v>
      </c>
      <c r="E254" t="s">
        <v>452</v>
      </c>
      <c r="F254" t="s">
        <v>454</v>
      </c>
      <c r="G254" s="4">
        <v>94054900</v>
      </c>
      <c r="H254">
        <v>26</v>
      </c>
      <c r="I254">
        <v>210.17</v>
      </c>
      <c r="J254">
        <v>5464.42</v>
      </c>
      <c r="K254">
        <v>491.7978</v>
      </c>
      <c r="L254">
        <v>491.7978</v>
      </c>
      <c r="M254">
        <v>6448</v>
      </c>
    </row>
    <row r="255" spans="1:13" x14ac:dyDescent="0.25">
      <c r="A255" t="s">
        <v>256</v>
      </c>
      <c r="B255" s="3">
        <v>46183</v>
      </c>
      <c r="C255" t="s">
        <v>112</v>
      </c>
      <c r="D255" t="s">
        <v>170</v>
      </c>
      <c r="E255" t="s">
        <v>133</v>
      </c>
      <c r="F255" t="s">
        <v>454</v>
      </c>
      <c r="G255" s="4">
        <v>94054090</v>
      </c>
      <c r="H255" s="4">
        <v>80</v>
      </c>
      <c r="I255" s="4">
        <v>80.510000000000005</v>
      </c>
      <c r="J255">
        <v>6440.8</v>
      </c>
      <c r="K255">
        <v>579.67200000000003</v>
      </c>
      <c r="L255">
        <v>579.67200000000003</v>
      </c>
      <c r="M255">
        <v>7600.1</v>
      </c>
    </row>
    <row r="256" spans="1:13" x14ac:dyDescent="0.25">
      <c r="A256" t="s">
        <v>256</v>
      </c>
      <c r="B256" s="3">
        <v>46183</v>
      </c>
      <c r="C256" t="s">
        <v>112</v>
      </c>
      <c r="D256" t="s">
        <v>213</v>
      </c>
      <c r="E256" t="s">
        <v>133</v>
      </c>
      <c r="F256" t="s">
        <v>454</v>
      </c>
      <c r="G256" s="4">
        <v>94054090</v>
      </c>
      <c r="H256" s="4">
        <v>100</v>
      </c>
      <c r="I256" s="4">
        <v>24.58</v>
      </c>
      <c r="J256">
        <v>2458</v>
      </c>
      <c r="K256">
        <v>221.22</v>
      </c>
      <c r="L256">
        <v>221.22</v>
      </c>
      <c r="M256">
        <v>2900.4</v>
      </c>
    </row>
    <row r="257" spans="1:13" x14ac:dyDescent="0.25">
      <c r="A257" t="s">
        <v>256</v>
      </c>
      <c r="B257" s="3">
        <v>46183</v>
      </c>
      <c r="C257" t="s">
        <v>112</v>
      </c>
      <c r="D257" t="s">
        <v>169</v>
      </c>
      <c r="E257" t="s">
        <v>133</v>
      </c>
      <c r="F257" t="s">
        <v>454</v>
      </c>
      <c r="G257" s="4">
        <v>94054090</v>
      </c>
      <c r="H257" s="4">
        <v>10</v>
      </c>
      <c r="I257" s="4">
        <v>317.8</v>
      </c>
      <c r="J257">
        <v>3178</v>
      </c>
      <c r="K257">
        <v>286.02</v>
      </c>
      <c r="L257">
        <v>286.02</v>
      </c>
      <c r="M257">
        <v>3750</v>
      </c>
    </row>
    <row r="258" spans="1:13" x14ac:dyDescent="0.25">
      <c r="A258" t="s">
        <v>256</v>
      </c>
      <c r="B258" s="3">
        <v>46183</v>
      </c>
      <c r="C258" t="s">
        <v>112</v>
      </c>
      <c r="D258" t="s">
        <v>257</v>
      </c>
      <c r="E258" t="s">
        <v>133</v>
      </c>
      <c r="F258" t="s">
        <v>454</v>
      </c>
      <c r="G258" s="4">
        <v>94054090</v>
      </c>
      <c r="H258" s="4">
        <v>3</v>
      </c>
      <c r="I258" s="4">
        <v>288.14</v>
      </c>
      <c r="J258">
        <v>864.42</v>
      </c>
      <c r="K258">
        <v>77.797799999999995</v>
      </c>
      <c r="L258">
        <v>77.797799999999995</v>
      </c>
      <c r="M258">
        <v>1020</v>
      </c>
    </row>
    <row r="259" spans="1:13" x14ac:dyDescent="0.25">
      <c r="A259" t="s">
        <v>256</v>
      </c>
      <c r="B259" s="3">
        <v>46183</v>
      </c>
      <c r="C259" t="s">
        <v>112</v>
      </c>
      <c r="D259" t="s">
        <v>258</v>
      </c>
      <c r="E259" t="s">
        <v>133</v>
      </c>
      <c r="F259" t="s">
        <v>454</v>
      </c>
      <c r="G259" s="4">
        <v>94054090</v>
      </c>
      <c r="H259" s="4">
        <v>10</v>
      </c>
      <c r="I259" s="4">
        <v>186.44</v>
      </c>
      <c r="J259">
        <v>1864.4</v>
      </c>
      <c r="K259">
        <v>167.79599999999999</v>
      </c>
      <c r="L259">
        <v>167.79599999999999</v>
      </c>
      <c r="M259">
        <v>2200</v>
      </c>
    </row>
    <row r="260" spans="1:13" x14ac:dyDescent="0.25">
      <c r="A260" t="s">
        <v>256</v>
      </c>
      <c r="B260" s="3">
        <v>46183</v>
      </c>
      <c r="C260" t="s">
        <v>112</v>
      </c>
      <c r="D260" t="s">
        <v>179</v>
      </c>
      <c r="E260" t="s">
        <v>133</v>
      </c>
      <c r="F260" t="s">
        <v>454</v>
      </c>
      <c r="G260" s="4">
        <v>94054090</v>
      </c>
      <c r="H260" s="4">
        <v>7</v>
      </c>
      <c r="I260" s="4">
        <v>288.14</v>
      </c>
      <c r="J260">
        <v>2016.98</v>
      </c>
      <c r="K260">
        <v>181.5282</v>
      </c>
      <c r="L260">
        <v>181.5282</v>
      </c>
      <c r="M260">
        <v>2380</v>
      </c>
    </row>
    <row r="261" spans="1:13" x14ac:dyDescent="0.25">
      <c r="A261" t="s">
        <v>256</v>
      </c>
      <c r="B261" s="3">
        <v>46183</v>
      </c>
      <c r="C261" t="s">
        <v>112</v>
      </c>
      <c r="D261" t="s">
        <v>259</v>
      </c>
      <c r="E261" t="s">
        <v>452</v>
      </c>
      <c r="F261" t="s">
        <v>453</v>
      </c>
      <c r="G261" s="4">
        <v>84145120</v>
      </c>
      <c r="H261" s="4">
        <v>2</v>
      </c>
      <c r="I261" s="4">
        <v>1144.07</v>
      </c>
      <c r="J261">
        <v>2288.14</v>
      </c>
      <c r="K261">
        <v>205.93259999999998</v>
      </c>
      <c r="L261">
        <v>205.93259999999998</v>
      </c>
      <c r="M261">
        <v>2700</v>
      </c>
    </row>
    <row r="262" spans="1:13" x14ac:dyDescent="0.25">
      <c r="A262" t="s">
        <v>256</v>
      </c>
      <c r="B262" s="3">
        <v>46183</v>
      </c>
      <c r="C262" t="s">
        <v>112</v>
      </c>
      <c r="D262" t="s">
        <v>173</v>
      </c>
      <c r="E262" t="s">
        <v>133</v>
      </c>
      <c r="F262" t="s">
        <v>454</v>
      </c>
      <c r="G262" s="4">
        <v>94054090</v>
      </c>
      <c r="H262" s="4">
        <v>120</v>
      </c>
      <c r="I262" s="4">
        <v>20.34</v>
      </c>
      <c r="J262">
        <v>2440.8000000000002</v>
      </c>
      <c r="K262">
        <v>219.672</v>
      </c>
      <c r="L262">
        <v>219.672</v>
      </c>
      <c r="M262">
        <v>2880.1</v>
      </c>
    </row>
    <row r="263" spans="1:13" x14ac:dyDescent="0.25">
      <c r="A263" t="s">
        <v>437</v>
      </c>
      <c r="B263" s="3">
        <v>46182</v>
      </c>
      <c r="C263" t="s">
        <v>225</v>
      </c>
      <c r="D263" t="s">
        <v>82</v>
      </c>
      <c r="E263" t="s">
        <v>452</v>
      </c>
      <c r="F263" t="s">
        <v>453</v>
      </c>
      <c r="G263" s="4">
        <v>84145120</v>
      </c>
      <c r="H263" s="4">
        <v>4</v>
      </c>
      <c r="I263" s="4">
        <v>1144.07</v>
      </c>
      <c r="J263">
        <v>4576.28</v>
      </c>
      <c r="K263">
        <v>411.86519999999996</v>
      </c>
      <c r="L263">
        <v>411.86519999999996</v>
      </c>
      <c r="M263">
        <v>5400</v>
      </c>
    </row>
    <row r="264" spans="1:13" x14ac:dyDescent="0.25">
      <c r="A264" t="s">
        <v>436</v>
      </c>
      <c r="B264" s="3">
        <v>46182</v>
      </c>
      <c r="C264" t="s">
        <v>115</v>
      </c>
      <c r="D264" t="s">
        <v>74</v>
      </c>
      <c r="E264" t="s">
        <v>452</v>
      </c>
      <c r="F264" t="s">
        <v>454</v>
      </c>
      <c r="G264" s="4">
        <v>94054900</v>
      </c>
      <c r="H264" s="4">
        <v>30</v>
      </c>
      <c r="I264" s="4">
        <v>120.34</v>
      </c>
      <c r="J264">
        <v>3610.2000000000003</v>
      </c>
      <c r="K264">
        <v>324.91800000000001</v>
      </c>
      <c r="L264">
        <v>324.91800000000001</v>
      </c>
      <c r="M264">
        <v>4260</v>
      </c>
    </row>
    <row r="265" spans="1:13" x14ac:dyDescent="0.25">
      <c r="A265" t="s">
        <v>436</v>
      </c>
      <c r="B265" s="3">
        <v>46182</v>
      </c>
      <c r="C265" t="s">
        <v>115</v>
      </c>
      <c r="D265" t="s">
        <v>117</v>
      </c>
      <c r="E265" t="s">
        <v>452</v>
      </c>
      <c r="F265" t="s">
        <v>454</v>
      </c>
      <c r="G265" s="4">
        <v>94054900</v>
      </c>
      <c r="H265" s="4">
        <v>40</v>
      </c>
      <c r="I265" s="4">
        <v>83.9</v>
      </c>
      <c r="J265">
        <v>3356</v>
      </c>
      <c r="K265">
        <v>302.03999999999996</v>
      </c>
      <c r="L265">
        <v>302.03999999999996</v>
      </c>
      <c r="M265">
        <v>3960.1</v>
      </c>
    </row>
    <row r="266" spans="1:13" x14ac:dyDescent="0.25">
      <c r="A266" t="s">
        <v>436</v>
      </c>
      <c r="B266" s="3">
        <v>46182</v>
      </c>
      <c r="C266" t="s">
        <v>115</v>
      </c>
      <c r="D266" t="s">
        <v>58</v>
      </c>
      <c r="E266" t="s">
        <v>452</v>
      </c>
      <c r="F266" t="s">
        <v>454</v>
      </c>
      <c r="G266" s="4">
        <v>94054900</v>
      </c>
      <c r="H266" s="4">
        <v>20</v>
      </c>
      <c r="I266" s="4">
        <v>183.05</v>
      </c>
      <c r="J266">
        <v>3661</v>
      </c>
      <c r="K266">
        <v>329.49</v>
      </c>
      <c r="L266">
        <v>329.49</v>
      </c>
      <c r="M266">
        <v>4320</v>
      </c>
    </row>
    <row r="267" spans="1:13" x14ac:dyDescent="0.25">
      <c r="A267" t="s">
        <v>436</v>
      </c>
      <c r="B267" s="3">
        <v>46182</v>
      </c>
      <c r="C267" t="s">
        <v>115</v>
      </c>
      <c r="D267" t="s">
        <v>144</v>
      </c>
      <c r="E267" t="s">
        <v>452</v>
      </c>
      <c r="F267" t="s">
        <v>454</v>
      </c>
      <c r="G267" s="4">
        <v>94054900</v>
      </c>
      <c r="H267" s="4">
        <v>20</v>
      </c>
      <c r="I267" s="4">
        <v>106.78</v>
      </c>
      <c r="J267">
        <v>2135.6</v>
      </c>
      <c r="K267">
        <v>192.20399999999998</v>
      </c>
      <c r="L267">
        <v>192.20399999999998</v>
      </c>
      <c r="M267">
        <v>2520</v>
      </c>
    </row>
    <row r="268" spans="1:13" x14ac:dyDescent="0.25">
      <c r="A268" t="s">
        <v>436</v>
      </c>
      <c r="B268" s="3">
        <v>46182</v>
      </c>
      <c r="C268" t="s">
        <v>115</v>
      </c>
      <c r="D268" t="s">
        <v>13</v>
      </c>
      <c r="E268" t="s">
        <v>452</v>
      </c>
      <c r="F268" t="s">
        <v>454</v>
      </c>
      <c r="G268" s="4">
        <v>94054900</v>
      </c>
      <c r="H268" s="4">
        <v>200</v>
      </c>
      <c r="I268" s="4">
        <v>80.510000000000005</v>
      </c>
      <c r="J268">
        <v>16102.000000000002</v>
      </c>
      <c r="K268">
        <v>1449.18</v>
      </c>
      <c r="L268">
        <v>1449.18</v>
      </c>
      <c r="M268">
        <v>19000.400000000001</v>
      </c>
    </row>
    <row r="269" spans="1:13" x14ac:dyDescent="0.25">
      <c r="A269" t="s">
        <v>436</v>
      </c>
      <c r="B269" s="3">
        <v>46182</v>
      </c>
      <c r="C269" t="s">
        <v>115</v>
      </c>
      <c r="D269" t="s">
        <v>59</v>
      </c>
      <c r="E269" t="s">
        <v>452</v>
      </c>
      <c r="F269" t="s">
        <v>454</v>
      </c>
      <c r="G269" s="4">
        <v>94054900</v>
      </c>
      <c r="H269" s="4">
        <v>20</v>
      </c>
      <c r="I269" s="4">
        <v>224.58</v>
      </c>
      <c r="J269">
        <v>4491.6000000000004</v>
      </c>
      <c r="K269">
        <v>404.24400000000003</v>
      </c>
      <c r="L269">
        <v>404.24400000000003</v>
      </c>
      <c r="M269">
        <v>5300.1</v>
      </c>
    </row>
    <row r="270" spans="1:13" x14ac:dyDescent="0.25">
      <c r="A270" t="s">
        <v>436</v>
      </c>
      <c r="B270" s="3">
        <v>46182</v>
      </c>
      <c r="C270" t="s">
        <v>115</v>
      </c>
      <c r="D270" t="s">
        <v>47</v>
      </c>
      <c r="E270" t="s">
        <v>452</v>
      </c>
      <c r="F270" t="s">
        <v>454</v>
      </c>
      <c r="G270" s="4">
        <v>94054900</v>
      </c>
      <c r="H270" s="4">
        <v>12</v>
      </c>
      <c r="I270" s="4">
        <v>253.39</v>
      </c>
      <c r="J270">
        <v>3040.68</v>
      </c>
      <c r="K270">
        <v>273.66119999999995</v>
      </c>
      <c r="L270">
        <v>273.66119999999995</v>
      </c>
      <c r="M270">
        <v>3588</v>
      </c>
    </row>
    <row r="271" spans="1:13" x14ac:dyDescent="0.25">
      <c r="A271" t="s">
        <v>435</v>
      </c>
      <c r="B271" s="3">
        <v>46182</v>
      </c>
      <c r="C271" t="s">
        <v>153</v>
      </c>
      <c r="D271" t="s">
        <v>72</v>
      </c>
      <c r="E271" t="s">
        <v>452</v>
      </c>
      <c r="F271" t="s">
        <v>454</v>
      </c>
      <c r="G271" s="4">
        <v>94054900</v>
      </c>
      <c r="H271">
        <v>5</v>
      </c>
      <c r="I271">
        <v>211.86</v>
      </c>
      <c r="J271">
        <v>1059.3000000000002</v>
      </c>
      <c r="K271">
        <v>95.337000000000018</v>
      </c>
      <c r="L271">
        <v>95.337000000000018</v>
      </c>
      <c r="M271">
        <v>1250</v>
      </c>
    </row>
    <row r="272" spans="1:13" x14ac:dyDescent="0.25">
      <c r="A272" t="s">
        <v>435</v>
      </c>
      <c r="B272" s="3">
        <v>46182</v>
      </c>
      <c r="C272" t="s">
        <v>153</v>
      </c>
      <c r="D272" t="s">
        <v>18</v>
      </c>
      <c r="E272" t="s">
        <v>452</v>
      </c>
      <c r="F272" t="s">
        <v>454</v>
      </c>
      <c r="G272" s="4">
        <v>94054900</v>
      </c>
      <c r="H272">
        <v>6</v>
      </c>
      <c r="I272">
        <v>313.56</v>
      </c>
      <c r="J272">
        <v>1881.3600000000001</v>
      </c>
      <c r="K272">
        <v>169.32240000000002</v>
      </c>
      <c r="L272">
        <v>169.32240000000002</v>
      </c>
      <c r="M272">
        <v>2220</v>
      </c>
    </row>
    <row r="273" spans="1:13" x14ac:dyDescent="0.25">
      <c r="A273" t="s">
        <v>435</v>
      </c>
      <c r="B273" s="3">
        <v>46182</v>
      </c>
      <c r="C273" t="s">
        <v>153</v>
      </c>
      <c r="D273" t="s">
        <v>36</v>
      </c>
      <c r="E273" t="s">
        <v>452</v>
      </c>
      <c r="F273" t="s">
        <v>454</v>
      </c>
      <c r="G273" s="4">
        <v>94054900</v>
      </c>
      <c r="H273">
        <v>6</v>
      </c>
      <c r="I273">
        <v>381.36</v>
      </c>
      <c r="J273">
        <v>2288.16</v>
      </c>
      <c r="K273">
        <v>205.93439999999998</v>
      </c>
      <c r="L273">
        <v>205.93439999999998</v>
      </c>
      <c r="M273">
        <v>2700</v>
      </c>
    </row>
    <row r="274" spans="1:13" x14ac:dyDescent="0.25">
      <c r="A274" t="s">
        <v>434</v>
      </c>
      <c r="B274" s="3">
        <v>46182</v>
      </c>
      <c r="C274" t="s">
        <v>154</v>
      </c>
      <c r="D274" t="s">
        <v>157</v>
      </c>
      <c r="E274" t="s">
        <v>452</v>
      </c>
      <c r="F274" t="s">
        <v>454</v>
      </c>
      <c r="G274" s="4">
        <v>94054900</v>
      </c>
      <c r="H274">
        <v>5</v>
      </c>
      <c r="I274">
        <v>322.02999999999997</v>
      </c>
      <c r="J274">
        <v>1610.1499999999999</v>
      </c>
      <c r="K274">
        <v>144.91349999999997</v>
      </c>
      <c r="L274">
        <v>144.91349999999997</v>
      </c>
      <c r="M274">
        <v>1900</v>
      </c>
    </row>
    <row r="275" spans="1:13" x14ac:dyDescent="0.25">
      <c r="A275" t="s">
        <v>434</v>
      </c>
      <c r="B275" s="3">
        <v>46182</v>
      </c>
      <c r="C275" t="s">
        <v>154</v>
      </c>
      <c r="D275" t="s">
        <v>82</v>
      </c>
      <c r="E275" t="s">
        <v>452</v>
      </c>
      <c r="F275" t="s">
        <v>453</v>
      </c>
      <c r="G275" s="4">
        <v>84145120</v>
      </c>
      <c r="H275">
        <v>2</v>
      </c>
      <c r="I275">
        <v>1144.07</v>
      </c>
      <c r="J275">
        <v>2288.14</v>
      </c>
      <c r="K275">
        <v>205.93259999999998</v>
      </c>
      <c r="L275">
        <v>205.93259999999998</v>
      </c>
      <c r="M275">
        <v>2700</v>
      </c>
    </row>
    <row r="276" spans="1:13" x14ac:dyDescent="0.25">
      <c r="A276" t="s">
        <v>433</v>
      </c>
      <c r="B276" s="3">
        <v>46182</v>
      </c>
      <c r="C276" t="s">
        <v>151</v>
      </c>
      <c r="D276" t="s">
        <v>74</v>
      </c>
      <c r="E276" t="s">
        <v>452</v>
      </c>
      <c r="F276" t="s">
        <v>454</v>
      </c>
      <c r="G276" s="4">
        <v>94054900</v>
      </c>
      <c r="H276">
        <v>30</v>
      </c>
      <c r="I276">
        <v>120.34</v>
      </c>
      <c r="J276">
        <v>3610.2000000000003</v>
      </c>
      <c r="K276">
        <v>324.91800000000001</v>
      </c>
      <c r="L276">
        <v>324.91800000000001</v>
      </c>
      <c r="M276">
        <v>4260</v>
      </c>
    </row>
    <row r="277" spans="1:13" x14ac:dyDescent="0.25">
      <c r="A277" t="s">
        <v>433</v>
      </c>
      <c r="B277" s="3">
        <v>46182</v>
      </c>
      <c r="C277" t="s">
        <v>151</v>
      </c>
      <c r="D277" t="s">
        <v>32</v>
      </c>
      <c r="E277" t="s">
        <v>452</v>
      </c>
      <c r="F277" t="s">
        <v>454</v>
      </c>
      <c r="G277" s="4">
        <v>94054900</v>
      </c>
      <c r="H277">
        <v>3</v>
      </c>
      <c r="I277">
        <v>540.67999999999995</v>
      </c>
      <c r="J277">
        <v>1622.04</v>
      </c>
      <c r="K277">
        <v>145.9836</v>
      </c>
      <c r="L277">
        <v>145.9836</v>
      </c>
      <c r="M277">
        <v>1914</v>
      </c>
    </row>
    <row r="278" spans="1:13" x14ac:dyDescent="0.25">
      <c r="A278" t="s">
        <v>433</v>
      </c>
      <c r="B278" s="3">
        <v>46182</v>
      </c>
      <c r="C278" t="s">
        <v>151</v>
      </c>
      <c r="D278" t="s">
        <v>55</v>
      </c>
      <c r="E278" t="s">
        <v>452</v>
      </c>
      <c r="F278" t="s">
        <v>454</v>
      </c>
      <c r="G278" s="4">
        <v>94054900</v>
      </c>
      <c r="H278">
        <v>3</v>
      </c>
      <c r="I278">
        <v>885.59</v>
      </c>
      <c r="J278">
        <v>2656.77</v>
      </c>
      <c r="K278">
        <v>239.10929999999999</v>
      </c>
      <c r="L278">
        <v>239.10929999999999</v>
      </c>
      <c r="M278">
        <v>3135</v>
      </c>
    </row>
    <row r="279" spans="1:13" x14ac:dyDescent="0.25">
      <c r="A279" t="s">
        <v>254</v>
      </c>
      <c r="B279" s="3">
        <v>46179</v>
      </c>
      <c r="C279" t="s">
        <v>225</v>
      </c>
      <c r="D279" t="s">
        <v>33</v>
      </c>
      <c r="E279" t="s">
        <v>452</v>
      </c>
      <c r="F279" t="s">
        <v>453</v>
      </c>
      <c r="G279" s="4">
        <v>84145120</v>
      </c>
      <c r="H279" s="4">
        <v>1</v>
      </c>
      <c r="I279" s="4">
        <v>1906.78</v>
      </c>
      <c r="J279">
        <v>1906.78</v>
      </c>
      <c r="K279">
        <v>171.61019999999999</v>
      </c>
      <c r="L279">
        <v>171.61019999999999</v>
      </c>
      <c r="M279">
        <v>2250</v>
      </c>
    </row>
    <row r="280" spans="1:13" x14ac:dyDescent="0.25">
      <c r="A280" t="s">
        <v>254</v>
      </c>
      <c r="B280" s="3">
        <v>46179</v>
      </c>
      <c r="C280" t="s">
        <v>225</v>
      </c>
      <c r="D280" t="s">
        <v>255</v>
      </c>
      <c r="E280" t="s">
        <v>452</v>
      </c>
      <c r="F280" t="s">
        <v>453</v>
      </c>
      <c r="G280" s="4">
        <v>84145120</v>
      </c>
      <c r="H280" s="4">
        <v>1</v>
      </c>
      <c r="I280" s="4">
        <v>1881.36</v>
      </c>
      <c r="J280">
        <v>1881.36</v>
      </c>
      <c r="K280">
        <v>169.32239999999999</v>
      </c>
      <c r="L280">
        <v>169.32239999999999</v>
      </c>
      <c r="M280">
        <v>2220</v>
      </c>
    </row>
    <row r="281" spans="1:13" x14ac:dyDescent="0.25">
      <c r="A281" t="s">
        <v>254</v>
      </c>
      <c r="B281" s="3">
        <v>46179</v>
      </c>
      <c r="C281" t="s">
        <v>225</v>
      </c>
      <c r="D281" t="s">
        <v>95</v>
      </c>
      <c r="E281" t="s">
        <v>452</v>
      </c>
      <c r="F281" t="s">
        <v>453</v>
      </c>
      <c r="G281" s="4">
        <v>84145120</v>
      </c>
      <c r="H281" s="4">
        <v>1</v>
      </c>
      <c r="I281" s="4">
        <v>2766.95</v>
      </c>
      <c r="J281">
        <v>2766.95</v>
      </c>
      <c r="K281">
        <v>249.02549999999997</v>
      </c>
      <c r="L281">
        <v>249.02549999999997</v>
      </c>
      <c r="M281">
        <v>3265</v>
      </c>
    </row>
    <row r="282" spans="1:13" x14ac:dyDescent="0.25">
      <c r="A282" t="s">
        <v>254</v>
      </c>
      <c r="B282" s="3">
        <v>46179</v>
      </c>
      <c r="C282" t="s">
        <v>225</v>
      </c>
      <c r="D282" t="s">
        <v>107</v>
      </c>
      <c r="E282" t="s">
        <v>452</v>
      </c>
      <c r="F282" t="s">
        <v>453</v>
      </c>
      <c r="G282" s="4">
        <v>84145120</v>
      </c>
      <c r="H282" s="4">
        <v>1</v>
      </c>
      <c r="I282" s="4">
        <v>2610.17</v>
      </c>
      <c r="J282">
        <v>2610.17</v>
      </c>
      <c r="K282">
        <v>234.9153</v>
      </c>
      <c r="L282">
        <v>234.9153</v>
      </c>
      <c r="M282">
        <v>3080</v>
      </c>
    </row>
    <row r="283" spans="1:13" x14ac:dyDescent="0.25">
      <c r="A283" t="s">
        <v>253</v>
      </c>
      <c r="B283" s="3">
        <v>46178</v>
      </c>
      <c r="C283" t="s">
        <v>78</v>
      </c>
      <c r="D283" t="s">
        <v>169</v>
      </c>
      <c r="E283" t="s">
        <v>133</v>
      </c>
      <c r="F283" t="s">
        <v>454</v>
      </c>
      <c r="H283" s="4">
        <v>10</v>
      </c>
      <c r="I283" s="4">
        <v>389.83</v>
      </c>
      <c r="J283">
        <v>3898.2999999999997</v>
      </c>
      <c r="K283">
        <v>350.84699999999998</v>
      </c>
      <c r="L283">
        <v>350.84699999999998</v>
      </c>
      <c r="M283">
        <v>4600</v>
      </c>
    </row>
    <row r="284" spans="1:13" x14ac:dyDescent="0.25">
      <c r="A284" t="s">
        <v>253</v>
      </c>
      <c r="B284" s="3">
        <v>46178</v>
      </c>
      <c r="C284" t="s">
        <v>78</v>
      </c>
      <c r="D284" t="s">
        <v>16</v>
      </c>
      <c r="E284" t="s">
        <v>452</v>
      </c>
      <c r="F284" t="s">
        <v>454</v>
      </c>
      <c r="G284" s="4">
        <v>94054900</v>
      </c>
      <c r="H284" s="4">
        <v>35</v>
      </c>
      <c r="I284" s="4">
        <v>194.92</v>
      </c>
      <c r="J284">
        <v>6822.2</v>
      </c>
      <c r="K284">
        <v>613.99799999999993</v>
      </c>
      <c r="L284">
        <v>613.99799999999993</v>
      </c>
      <c r="M284">
        <v>8050.2</v>
      </c>
    </row>
    <row r="285" spans="1:13" x14ac:dyDescent="0.25">
      <c r="A285" t="s">
        <v>432</v>
      </c>
      <c r="B285" s="3">
        <v>46175</v>
      </c>
      <c r="C285" t="s">
        <v>146</v>
      </c>
      <c r="D285" t="s">
        <v>387</v>
      </c>
      <c r="E285" t="s">
        <v>452</v>
      </c>
      <c r="F285" t="s">
        <v>454</v>
      </c>
      <c r="G285" s="4">
        <v>94054090</v>
      </c>
      <c r="H285">
        <v>20</v>
      </c>
      <c r="I285">
        <v>120.34</v>
      </c>
      <c r="J285">
        <v>2406.8000000000002</v>
      </c>
      <c r="K285">
        <v>216.61199999999999</v>
      </c>
      <c r="L285">
        <v>216.61199999999999</v>
      </c>
      <c r="M285">
        <v>2840</v>
      </c>
    </row>
    <row r="286" spans="1:13" x14ac:dyDescent="0.25">
      <c r="A286" t="s">
        <v>431</v>
      </c>
      <c r="B286" s="3">
        <v>46174</v>
      </c>
      <c r="C286" t="s">
        <v>41</v>
      </c>
      <c r="D286" t="s">
        <v>16</v>
      </c>
      <c r="E286" t="s">
        <v>452</v>
      </c>
      <c r="F286" t="s">
        <v>454</v>
      </c>
      <c r="G286" s="4">
        <v>94054900</v>
      </c>
      <c r="H286" s="4">
        <v>10</v>
      </c>
      <c r="I286" s="4">
        <v>216.1</v>
      </c>
      <c r="J286">
        <v>2161</v>
      </c>
      <c r="K286">
        <v>194.48999999999998</v>
      </c>
      <c r="L286">
        <v>194.48999999999998</v>
      </c>
      <c r="M286">
        <v>2550</v>
      </c>
    </row>
    <row r="287" spans="1:13" x14ac:dyDescent="0.25">
      <c r="A287" t="s">
        <v>430</v>
      </c>
      <c r="B287" s="3">
        <v>46169</v>
      </c>
      <c r="C287" t="s">
        <v>230</v>
      </c>
      <c r="D287" t="s">
        <v>120</v>
      </c>
      <c r="E287" t="s">
        <v>133</v>
      </c>
      <c r="F287" t="s">
        <v>454</v>
      </c>
      <c r="H287">
        <v>40</v>
      </c>
      <c r="I287">
        <v>262.70999999999998</v>
      </c>
      <c r="J287">
        <v>10508.4</v>
      </c>
      <c r="K287">
        <v>945.75599999999997</v>
      </c>
      <c r="L287">
        <v>945.75599999999997</v>
      </c>
      <c r="M287">
        <v>12399.9</v>
      </c>
    </row>
    <row r="288" spans="1:13" x14ac:dyDescent="0.25">
      <c r="A288" t="s">
        <v>429</v>
      </c>
      <c r="B288" s="3">
        <v>46169</v>
      </c>
      <c r="C288" t="s">
        <v>103</v>
      </c>
      <c r="D288" t="s">
        <v>178</v>
      </c>
      <c r="E288" t="s">
        <v>133</v>
      </c>
      <c r="F288" t="s">
        <v>454</v>
      </c>
      <c r="H288">
        <v>5</v>
      </c>
      <c r="I288">
        <v>93.22</v>
      </c>
      <c r="J288">
        <v>466.1</v>
      </c>
      <c r="K288">
        <v>41.948999999999998</v>
      </c>
      <c r="L288">
        <v>41.948999999999998</v>
      </c>
      <c r="M288">
        <v>550</v>
      </c>
    </row>
    <row r="289" spans="1:13" x14ac:dyDescent="0.25">
      <c r="A289" t="s">
        <v>429</v>
      </c>
      <c r="B289" s="3">
        <v>46169</v>
      </c>
      <c r="C289" t="s">
        <v>103</v>
      </c>
      <c r="D289" t="s">
        <v>237</v>
      </c>
      <c r="E289" t="s">
        <v>133</v>
      </c>
      <c r="F289" t="s">
        <v>454</v>
      </c>
      <c r="H289">
        <v>5</v>
      </c>
      <c r="I289">
        <v>139.83000000000001</v>
      </c>
      <c r="J289">
        <v>699.15000000000009</v>
      </c>
      <c r="K289">
        <v>62.923500000000004</v>
      </c>
      <c r="L289">
        <v>62.923500000000004</v>
      </c>
      <c r="M289">
        <v>825</v>
      </c>
    </row>
    <row r="290" spans="1:13" x14ac:dyDescent="0.25">
      <c r="A290" t="s">
        <v>429</v>
      </c>
      <c r="B290" s="3">
        <v>46169</v>
      </c>
      <c r="C290" t="s">
        <v>103</v>
      </c>
      <c r="D290" t="s">
        <v>16</v>
      </c>
      <c r="E290" t="s">
        <v>452</v>
      </c>
      <c r="F290" t="s">
        <v>454</v>
      </c>
      <c r="G290" s="4">
        <v>94054900</v>
      </c>
      <c r="H290">
        <v>5</v>
      </c>
      <c r="I290">
        <v>196.61</v>
      </c>
      <c r="J290">
        <v>983.05000000000007</v>
      </c>
      <c r="K290">
        <v>88.474500000000006</v>
      </c>
      <c r="L290">
        <v>88.474500000000006</v>
      </c>
      <c r="M290">
        <v>1160</v>
      </c>
    </row>
    <row r="291" spans="1:13" x14ac:dyDescent="0.25">
      <c r="A291" t="s">
        <v>428</v>
      </c>
      <c r="B291" s="3">
        <v>46168</v>
      </c>
      <c r="C291" t="s">
        <v>22</v>
      </c>
      <c r="D291" t="s">
        <v>53</v>
      </c>
      <c r="E291" t="s">
        <v>452</v>
      </c>
      <c r="F291" t="s">
        <v>454</v>
      </c>
      <c r="G291" s="4">
        <v>94054900</v>
      </c>
      <c r="H291">
        <v>2</v>
      </c>
      <c r="I291">
        <v>233.9</v>
      </c>
      <c r="J291">
        <v>467.8</v>
      </c>
      <c r="K291">
        <v>42.101999999999997</v>
      </c>
      <c r="L291">
        <v>42.101999999999997</v>
      </c>
      <c r="M291">
        <v>552</v>
      </c>
    </row>
    <row r="292" spans="1:13" x14ac:dyDescent="0.25">
      <c r="A292" t="s">
        <v>428</v>
      </c>
      <c r="B292" s="3">
        <v>46168</v>
      </c>
      <c r="C292" t="s">
        <v>22</v>
      </c>
      <c r="D292" t="s">
        <v>54</v>
      </c>
      <c r="E292" t="s">
        <v>452</v>
      </c>
      <c r="F292" t="s">
        <v>454</v>
      </c>
      <c r="G292" s="4">
        <v>94054900</v>
      </c>
      <c r="H292">
        <v>10</v>
      </c>
      <c r="I292">
        <v>131.36000000000001</v>
      </c>
      <c r="J292">
        <v>1313.6000000000001</v>
      </c>
      <c r="K292">
        <v>118.224</v>
      </c>
      <c r="L292">
        <v>118.224</v>
      </c>
      <c r="M292">
        <v>1550</v>
      </c>
    </row>
    <row r="293" spans="1:13" x14ac:dyDescent="0.25">
      <c r="A293" t="s">
        <v>427</v>
      </c>
      <c r="B293" s="3">
        <v>46168</v>
      </c>
      <c r="C293" t="s">
        <v>25</v>
      </c>
      <c r="D293" t="s">
        <v>27</v>
      </c>
      <c r="E293" t="s">
        <v>452</v>
      </c>
      <c r="F293" t="s">
        <v>454</v>
      </c>
      <c r="G293" s="4">
        <v>94054900</v>
      </c>
      <c r="H293">
        <v>9</v>
      </c>
      <c r="I293">
        <v>237.29</v>
      </c>
      <c r="J293">
        <v>2135.61</v>
      </c>
      <c r="K293">
        <v>192.20490000000001</v>
      </c>
      <c r="L293">
        <v>192.20490000000001</v>
      </c>
      <c r="M293">
        <v>2520</v>
      </c>
    </row>
    <row r="294" spans="1:13" x14ac:dyDescent="0.25">
      <c r="A294" t="s">
        <v>251</v>
      </c>
      <c r="B294" s="3">
        <v>46167</v>
      </c>
      <c r="C294" t="s">
        <v>103</v>
      </c>
      <c r="D294" t="s">
        <v>213</v>
      </c>
      <c r="E294" t="s">
        <v>133</v>
      </c>
      <c r="F294" t="s">
        <v>454</v>
      </c>
      <c r="G294" s="4">
        <v>94054090</v>
      </c>
      <c r="H294" s="4">
        <v>20</v>
      </c>
      <c r="I294" s="4">
        <v>27.12</v>
      </c>
      <c r="J294">
        <v>542.4</v>
      </c>
      <c r="K294">
        <v>48.815999999999995</v>
      </c>
      <c r="L294">
        <v>48.815999999999995</v>
      </c>
      <c r="M294">
        <v>640</v>
      </c>
    </row>
    <row r="295" spans="1:13" x14ac:dyDescent="0.25">
      <c r="A295" t="s">
        <v>251</v>
      </c>
      <c r="B295" s="3">
        <v>46167</v>
      </c>
      <c r="C295" t="s">
        <v>103</v>
      </c>
      <c r="D295" t="s">
        <v>252</v>
      </c>
      <c r="E295" t="s">
        <v>133</v>
      </c>
      <c r="F295" t="s">
        <v>454</v>
      </c>
      <c r="G295" s="4">
        <v>94054090</v>
      </c>
      <c r="H295" s="4">
        <v>10</v>
      </c>
      <c r="I295" s="4">
        <v>29.66</v>
      </c>
      <c r="J295">
        <v>296.60000000000002</v>
      </c>
      <c r="K295">
        <v>26.694000000000003</v>
      </c>
      <c r="L295">
        <v>26.694000000000003</v>
      </c>
      <c r="M295">
        <v>350</v>
      </c>
    </row>
    <row r="296" spans="1:13" x14ac:dyDescent="0.25">
      <c r="A296" t="s">
        <v>251</v>
      </c>
      <c r="B296" s="3">
        <v>46167</v>
      </c>
      <c r="C296" t="s">
        <v>103</v>
      </c>
      <c r="D296" t="s">
        <v>82</v>
      </c>
      <c r="E296" t="s">
        <v>452</v>
      </c>
      <c r="F296" t="s">
        <v>453</v>
      </c>
      <c r="G296" s="4">
        <v>84145120</v>
      </c>
      <c r="H296" s="4">
        <v>1</v>
      </c>
      <c r="I296" s="4">
        <v>1144.06</v>
      </c>
      <c r="J296">
        <v>1144.06</v>
      </c>
      <c r="K296">
        <v>102.96539999999999</v>
      </c>
      <c r="L296">
        <v>102.96539999999999</v>
      </c>
      <c r="M296">
        <v>1350</v>
      </c>
    </row>
    <row r="297" spans="1:13" x14ac:dyDescent="0.25">
      <c r="A297" t="s">
        <v>251</v>
      </c>
      <c r="B297" s="3">
        <v>46167</v>
      </c>
      <c r="C297" t="s">
        <v>103</v>
      </c>
      <c r="D297" t="s">
        <v>193</v>
      </c>
      <c r="E297" t="s">
        <v>133</v>
      </c>
      <c r="F297" t="s">
        <v>454</v>
      </c>
      <c r="G297" s="4">
        <v>94054090</v>
      </c>
      <c r="H297" s="4">
        <v>6</v>
      </c>
      <c r="I297" s="4">
        <v>114.41</v>
      </c>
      <c r="J297">
        <v>686.46</v>
      </c>
      <c r="K297">
        <v>61.781399999999998</v>
      </c>
      <c r="L297">
        <v>61.781399999999998</v>
      </c>
      <c r="M297">
        <v>810</v>
      </c>
    </row>
    <row r="298" spans="1:13" x14ac:dyDescent="0.25">
      <c r="A298" t="s">
        <v>426</v>
      </c>
      <c r="B298" s="3">
        <v>46165</v>
      </c>
      <c r="C298" t="s">
        <v>115</v>
      </c>
      <c r="D298" t="s">
        <v>13</v>
      </c>
      <c r="E298" t="s">
        <v>452</v>
      </c>
      <c r="F298" t="s">
        <v>454</v>
      </c>
      <c r="G298" s="4">
        <v>94054900</v>
      </c>
      <c r="H298">
        <v>100</v>
      </c>
      <c r="I298">
        <v>80.510000000000005</v>
      </c>
      <c r="J298">
        <v>8051.0000000000009</v>
      </c>
      <c r="K298">
        <v>724.59</v>
      </c>
      <c r="L298">
        <v>724.59</v>
      </c>
      <c r="M298">
        <v>9500.2000000000007</v>
      </c>
    </row>
    <row r="299" spans="1:13" x14ac:dyDescent="0.25">
      <c r="A299" t="s">
        <v>426</v>
      </c>
      <c r="B299" s="3">
        <v>46165</v>
      </c>
      <c r="C299" t="s">
        <v>115</v>
      </c>
      <c r="D299" t="s">
        <v>58</v>
      </c>
      <c r="E299" t="s">
        <v>452</v>
      </c>
      <c r="F299" t="s">
        <v>454</v>
      </c>
      <c r="G299" s="4">
        <v>94054900</v>
      </c>
      <c r="H299">
        <v>20</v>
      </c>
      <c r="I299">
        <v>183.05</v>
      </c>
      <c r="J299">
        <v>3661</v>
      </c>
      <c r="K299">
        <v>329.49</v>
      </c>
      <c r="L299">
        <v>329.49</v>
      </c>
      <c r="M299">
        <v>4320</v>
      </c>
    </row>
    <row r="300" spans="1:13" x14ac:dyDescent="0.25">
      <c r="A300" t="s">
        <v>250</v>
      </c>
      <c r="B300" s="3">
        <v>46165</v>
      </c>
      <c r="C300" t="s">
        <v>113</v>
      </c>
      <c r="D300" t="s">
        <v>143</v>
      </c>
      <c r="E300" t="s">
        <v>452</v>
      </c>
      <c r="F300" t="s">
        <v>453</v>
      </c>
      <c r="G300" s="4">
        <v>84145120</v>
      </c>
      <c r="H300" s="4">
        <v>3</v>
      </c>
      <c r="I300" s="4">
        <v>2004.24</v>
      </c>
      <c r="J300">
        <v>6012.72</v>
      </c>
      <c r="K300">
        <v>541.14480000000003</v>
      </c>
      <c r="L300">
        <v>541.14480000000003</v>
      </c>
      <c r="M300">
        <v>7095</v>
      </c>
    </row>
    <row r="301" spans="1:13" x14ac:dyDescent="0.25">
      <c r="A301" t="s">
        <v>425</v>
      </c>
      <c r="B301" s="3">
        <v>46163</v>
      </c>
      <c r="C301" t="s">
        <v>151</v>
      </c>
      <c r="D301" t="s">
        <v>228</v>
      </c>
      <c r="E301" t="s">
        <v>133</v>
      </c>
      <c r="F301" t="s">
        <v>454</v>
      </c>
      <c r="H301">
        <v>50</v>
      </c>
      <c r="I301">
        <v>27.97</v>
      </c>
      <c r="J301">
        <v>1398.5</v>
      </c>
      <c r="K301">
        <v>125.86499999999999</v>
      </c>
      <c r="L301">
        <v>125.86499999999999</v>
      </c>
      <c r="M301">
        <v>1650.2</v>
      </c>
    </row>
    <row r="302" spans="1:13" x14ac:dyDescent="0.25">
      <c r="A302" t="s">
        <v>249</v>
      </c>
      <c r="B302" s="3">
        <v>46163</v>
      </c>
      <c r="C302" t="s">
        <v>211</v>
      </c>
      <c r="D302" t="s">
        <v>82</v>
      </c>
      <c r="E302" t="s">
        <v>452</v>
      </c>
      <c r="F302" t="s">
        <v>453</v>
      </c>
      <c r="G302" s="4">
        <v>84145120</v>
      </c>
      <c r="H302">
        <v>2</v>
      </c>
      <c r="I302" s="4">
        <v>1144.07</v>
      </c>
      <c r="J302">
        <v>2288.14</v>
      </c>
      <c r="K302">
        <v>205.93259999999998</v>
      </c>
      <c r="L302">
        <v>205.93259999999998</v>
      </c>
      <c r="M302">
        <v>2700</v>
      </c>
    </row>
    <row r="303" spans="1:13" x14ac:dyDescent="0.25">
      <c r="A303" t="s">
        <v>248</v>
      </c>
      <c r="B303" s="3">
        <v>46163</v>
      </c>
      <c r="C303" t="s">
        <v>101</v>
      </c>
      <c r="D303" t="s">
        <v>213</v>
      </c>
      <c r="E303" t="s">
        <v>133</v>
      </c>
      <c r="F303" t="s">
        <v>454</v>
      </c>
      <c r="H303" s="4">
        <v>50</v>
      </c>
      <c r="I303" s="4">
        <v>27.97</v>
      </c>
      <c r="J303">
        <v>1398.5</v>
      </c>
      <c r="K303">
        <v>125.86499999999999</v>
      </c>
      <c r="L303">
        <v>125.86499999999999</v>
      </c>
      <c r="M303">
        <v>1650.2</v>
      </c>
    </row>
    <row r="304" spans="1:13" x14ac:dyDescent="0.25">
      <c r="A304" t="s">
        <v>248</v>
      </c>
      <c r="B304" s="3">
        <v>46163</v>
      </c>
      <c r="C304" t="s">
        <v>101</v>
      </c>
      <c r="D304" t="s">
        <v>169</v>
      </c>
      <c r="E304" t="s">
        <v>133</v>
      </c>
      <c r="F304" t="s">
        <v>454</v>
      </c>
      <c r="H304" s="4">
        <v>2</v>
      </c>
      <c r="I304" s="4">
        <v>389.83</v>
      </c>
      <c r="J304">
        <v>779.66</v>
      </c>
      <c r="K304">
        <v>70.169399999999996</v>
      </c>
      <c r="L304">
        <v>70.169399999999996</v>
      </c>
      <c r="M304">
        <v>920</v>
      </c>
    </row>
    <row r="305" spans="1:13" x14ac:dyDescent="0.25">
      <c r="A305" t="s">
        <v>245</v>
      </c>
      <c r="B305" s="3">
        <v>46163</v>
      </c>
      <c r="C305" t="s">
        <v>78</v>
      </c>
      <c r="D305" t="s">
        <v>246</v>
      </c>
      <c r="E305" t="s">
        <v>133</v>
      </c>
      <c r="F305" t="s">
        <v>454</v>
      </c>
      <c r="G305" s="4">
        <v>94054090</v>
      </c>
      <c r="H305">
        <v>14</v>
      </c>
      <c r="I305">
        <v>110.17</v>
      </c>
      <c r="J305">
        <v>1542.38</v>
      </c>
      <c r="K305">
        <v>138.8142</v>
      </c>
      <c r="L305">
        <v>138.8142</v>
      </c>
      <c r="M305">
        <v>1820</v>
      </c>
    </row>
    <row r="306" spans="1:13" x14ac:dyDescent="0.25">
      <c r="A306" t="s">
        <v>245</v>
      </c>
      <c r="B306" s="3">
        <v>46163</v>
      </c>
      <c r="C306" t="s">
        <v>78</v>
      </c>
      <c r="D306" t="s">
        <v>247</v>
      </c>
      <c r="E306" t="s">
        <v>133</v>
      </c>
      <c r="F306" t="s">
        <v>454</v>
      </c>
      <c r="G306" s="4">
        <v>94054090</v>
      </c>
      <c r="H306">
        <v>5</v>
      </c>
      <c r="I306">
        <v>114.41</v>
      </c>
      <c r="J306">
        <v>572.04999999999995</v>
      </c>
      <c r="K306">
        <v>51.484499999999997</v>
      </c>
      <c r="L306">
        <v>51.484499999999997</v>
      </c>
      <c r="M306">
        <v>675</v>
      </c>
    </row>
    <row r="307" spans="1:13" x14ac:dyDescent="0.25">
      <c r="A307" t="s">
        <v>242</v>
      </c>
      <c r="B307" s="3">
        <v>46163</v>
      </c>
      <c r="C307" t="s">
        <v>243</v>
      </c>
      <c r="D307" t="s">
        <v>244</v>
      </c>
      <c r="E307" t="s">
        <v>133</v>
      </c>
      <c r="F307" t="s">
        <v>454</v>
      </c>
      <c r="G307" s="4">
        <v>94054090</v>
      </c>
      <c r="H307" s="4">
        <v>2</v>
      </c>
      <c r="I307" s="4">
        <v>88.98</v>
      </c>
      <c r="J307">
        <v>177.96</v>
      </c>
      <c r="K307">
        <v>16.016400000000001</v>
      </c>
      <c r="L307">
        <v>16.016400000000001</v>
      </c>
      <c r="M307">
        <v>210</v>
      </c>
    </row>
    <row r="308" spans="1:13" x14ac:dyDescent="0.25">
      <c r="A308" t="s">
        <v>242</v>
      </c>
      <c r="B308" s="3">
        <v>46163</v>
      </c>
      <c r="C308" t="s">
        <v>243</v>
      </c>
      <c r="D308" t="s">
        <v>207</v>
      </c>
      <c r="E308" t="s">
        <v>208</v>
      </c>
      <c r="F308" t="s">
        <v>453</v>
      </c>
      <c r="G308" s="4">
        <v>84145120</v>
      </c>
      <c r="H308" s="4">
        <v>2</v>
      </c>
      <c r="I308" s="4">
        <v>1271.19</v>
      </c>
      <c r="J308">
        <v>2542.38</v>
      </c>
      <c r="K308">
        <v>228.8142</v>
      </c>
      <c r="L308">
        <v>228.8142</v>
      </c>
      <c r="M308">
        <v>3000</v>
      </c>
    </row>
    <row r="309" spans="1:13" x14ac:dyDescent="0.25">
      <c r="A309" t="s">
        <v>424</v>
      </c>
      <c r="B309" s="3">
        <v>46162</v>
      </c>
      <c r="C309" t="s">
        <v>129</v>
      </c>
      <c r="D309" t="s">
        <v>82</v>
      </c>
      <c r="E309" t="s">
        <v>452</v>
      </c>
      <c r="F309" t="s">
        <v>453</v>
      </c>
      <c r="G309" s="4">
        <v>84145120</v>
      </c>
      <c r="H309">
        <v>4</v>
      </c>
      <c r="I309" s="4">
        <v>1156.78</v>
      </c>
      <c r="J309">
        <v>4627.12</v>
      </c>
      <c r="K309">
        <v>416.44079999999997</v>
      </c>
      <c r="L309">
        <v>416.44079999999997</v>
      </c>
      <c r="M309">
        <v>5460</v>
      </c>
    </row>
    <row r="310" spans="1:13" x14ac:dyDescent="0.25">
      <c r="A310" t="s">
        <v>423</v>
      </c>
      <c r="B310" s="3">
        <v>46161</v>
      </c>
      <c r="C310" t="s">
        <v>65</v>
      </c>
      <c r="D310" t="s">
        <v>140</v>
      </c>
      <c r="E310" t="s">
        <v>452</v>
      </c>
      <c r="F310" t="s">
        <v>454</v>
      </c>
      <c r="G310" s="4">
        <v>94054900</v>
      </c>
      <c r="H310">
        <v>10</v>
      </c>
      <c r="I310">
        <v>122.88</v>
      </c>
      <c r="J310">
        <v>1228.8</v>
      </c>
      <c r="K310">
        <v>110.592</v>
      </c>
      <c r="L310">
        <v>110.592</v>
      </c>
      <c r="M310">
        <v>1450</v>
      </c>
    </row>
    <row r="311" spans="1:13" x14ac:dyDescent="0.25">
      <c r="A311" t="s">
        <v>423</v>
      </c>
      <c r="B311" s="3">
        <v>46161</v>
      </c>
      <c r="C311" t="s">
        <v>65</v>
      </c>
      <c r="D311" t="s">
        <v>26</v>
      </c>
      <c r="E311" t="s">
        <v>452</v>
      </c>
      <c r="F311" t="s">
        <v>454</v>
      </c>
      <c r="G311" s="4">
        <v>94054900</v>
      </c>
      <c r="H311">
        <v>20</v>
      </c>
      <c r="I311">
        <v>59.32</v>
      </c>
      <c r="J311">
        <v>1186.4000000000001</v>
      </c>
      <c r="K311">
        <v>106.77600000000001</v>
      </c>
      <c r="L311">
        <v>106.77600000000001</v>
      </c>
      <c r="M311">
        <v>1400</v>
      </c>
    </row>
    <row r="312" spans="1:13" x14ac:dyDescent="0.25">
      <c r="A312" t="s">
        <v>422</v>
      </c>
      <c r="B312" s="3">
        <v>46161</v>
      </c>
      <c r="C312" t="s">
        <v>114</v>
      </c>
      <c r="D312" t="s">
        <v>74</v>
      </c>
      <c r="E312" t="s">
        <v>452</v>
      </c>
      <c r="F312" t="s">
        <v>454</v>
      </c>
      <c r="G312" s="4">
        <v>94054900</v>
      </c>
      <c r="H312">
        <v>30</v>
      </c>
      <c r="I312">
        <v>120.34</v>
      </c>
      <c r="J312">
        <v>3610.2000000000003</v>
      </c>
      <c r="K312">
        <v>324.91800000000001</v>
      </c>
      <c r="L312">
        <v>324.91800000000001</v>
      </c>
      <c r="M312">
        <v>4260</v>
      </c>
    </row>
    <row r="313" spans="1:13" x14ac:dyDescent="0.25">
      <c r="A313" t="s">
        <v>421</v>
      </c>
      <c r="B313" s="3">
        <v>46161</v>
      </c>
      <c r="C313" t="s">
        <v>22</v>
      </c>
      <c r="D313" t="s">
        <v>13</v>
      </c>
      <c r="E313" t="s">
        <v>452</v>
      </c>
      <c r="F313" t="s">
        <v>454</v>
      </c>
      <c r="G313" s="4">
        <v>94054900</v>
      </c>
      <c r="H313" s="4">
        <v>20</v>
      </c>
      <c r="I313" s="4">
        <v>80.510000000000005</v>
      </c>
      <c r="J313">
        <v>1610.2</v>
      </c>
      <c r="K313">
        <v>144.91800000000001</v>
      </c>
      <c r="L313">
        <v>144.91800000000001</v>
      </c>
      <c r="M313">
        <v>1900</v>
      </c>
    </row>
    <row r="314" spans="1:13" x14ac:dyDescent="0.25">
      <c r="A314" t="s">
        <v>420</v>
      </c>
      <c r="B314" s="3">
        <v>46161</v>
      </c>
      <c r="C314" t="s">
        <v>20</v>
      </c>
      <c r="D314" t="s">
        <v>67</v>
      </c>
      <c r="E314" t="s">
        <v>452</v>
      </c>
      <c r="F314" t="s">
        <v>454</v>
      </c>
      <c r="G314" s="4">
        <v>94054900</v>
      </c>
      <c r="H314" s="4">
        <v>5</v>
      </c>
      <c r="I314" s="4">
        <v>305.08</v>
      </c>
      <c r="J314">
        <v>1525.3999999999999</v>
      </c>
      <c r="K314">
        <v>137.28599999999997</v>
      </c>
      <c r="L314">
        <v>137.28599999999997</v>
      </c>
      <c r="M314">
        <v>1800</v>
      </c>
    </row>
    <row r="315" spans="1:13" x14ac:dyDescent="0.25">
      <c r="A315" t="s">
        <v>419</v>
      </c>
      <c r="B315" s="3">
        <v>46161</v>
      </c>
      <c r="C315" t="s">
        <v>25</v>
      </c>
      <c r="D315" t="s">
        <v>59</v>
      </c>
      <c r="E315" t="s">
        <v>452</v>
      </c>
      <c r="F315" t="s">
        <v>454</v>
      </c>
      <c r="G315" s="4">
        <v>94054900</v>
      </c>
      <c r="H315">
        <v>10</v>
      </c>
      <c r="I315">
        <v>224.58</v>
      </c>
      <c r="J315">
        <v>2245.8000000000002</v>
      </c>
      <c r="K315">
        <v>202.12200000000001</v>
      </c>
      <c r="L315">
        <v>202.12200000000001</v>
      </c>
      <c r="M315">
        <v>2650</v>
      </c>
    </row>
    <row r="316" spans="1:13" x14ac:dyDescent="0.25">
      <c r="A316" t="s">
        <v>418</v>
      </c>
      <c r="B316" s="3">
        <v>46161</v>
      </c>
      <c r="C316" t="s">
        <v>129</v>
      </c>
      <c r="D316" t="s">
        <v>74</v>
      </c>
      <c r="E316" t="s">
        <v>452</v>
      </c>
      <c r="F316" t="s">
        <v>454</v>
      </c>
      <c r="G316" s="4">
        <v>94054900</v>
      </c>
      <c r="H316">
        <v>30</v>
      </c>
      <c r="I316">
        <v>132.19999999999999</v>
      </c>
      <c r="J316">
        <v>3965.9999999999995</v>
      </c>
      <c r="K316">
        <v>356.93999999999994</v>
      </c>
      <c r="L316">
        <v>356.93999999999994</v>
      </c>
      <c r="M316">
        <v>4679.8999999999996</v>
      </c>
    </row>
    <row r="317" spans="1:13" x14ac:dyDescent="0.25">
      <c r="A317" t="s">
        <v>416</v>
      </c>
      <c r="B317" s="3">
        <v>46161</v>
      </c>
      <c r="C317" t="s">
        <v>151</v>
      </c>
      <c r="D317" t="s">
        <v>417</v>
      </c>
      <c r="E317" t="s">
        <v>133</v>
      </c>
      <c r="F317" t="s">
        <v>454</v>
      </c>
      <c r="G317" s="4">
        <v>94054090</v>
      </c>
      <c r="H317">
        <v>12</v>
      </c>
      <c r="I317">
        <v>198.31</v>
      </c>
      <c r="J317">
        <v>2379.7200000000003</v>
      </c>
      <c r="K317">
        <v>214.1748</v>
      </c>
      <c r="L317">
        <v>214.1748</v>
      </c>
      <c r="M317">
        <v>2808.1</v>
      </c>
    </row>
    <row r="318" spans="1:13" x14ac:dyDescent="0.25">
      <c r="A318" t="s">
        <v>416</v>
      </c>
      <c r="B318" s="3">
        <v>46161</v>
      </c>
      <c r="C318" t="s">
        <v>151</v>
      </c>
      <c r="D318" t="s">
        <v>122</v>
      </c>
      <c r="E318" t="s">
        <v>452</v>
      </c>
      <c r="F318" t="s">
        <v>454</v>
      </c>
      <c r="G318" s="4">
        <v>94054900</v>
      </c>
      <c r="H318">
        <v>10</v>
      </c>
      <c r="I318">
        <v>132.19999999999999</v>
      </c>
      <c r="J318">
        <v>1322</v>
      </c>
      <c r="K318">
        <v>118.97999999999999</v>
      </c>
      <c r="L318">
        <v>118.97999999999999</v>
      </c>
      <c r="M318">
        <v>1560</v>
      </c>
    </row>
    <row r="319" spans="1:13" x14ac:dyDescent="0.25">
      <c r="A319" t="s">
        <v>416</v>
      </c>
      <c r="B319" s="3">
        <v>46161</v>
      </c>
      <c r="C319" t="s">
        <v>151</v>
      </c>
      <c r="D319" t="s">
        <v>14</v>
      </c>
      <c r="E319" t="s">
        <v>452</v>
      </c>
      <c r="F319" t="s">
        <v>454</v>
      </c>
      <c r="G319" s="4">
        <v>94054900</v>
      </c>
      <c r="H319">
        <v>10</v>
      </c>
      <c r="I319">
        <v>60.17</v>
      </c>
      <c r="J319">
        <v>601.70000000000005</v>
      </c>
      <c r="K319">
        <v>54.152999999999999</v>
      </c>
      <c r="L319">
        <v>54.152999999999999</v>
      </c>
      <c r="M319">
        <v>710</v>
      </c>
    </row>
    <row r="320" spans="1:13" x14ac:dyDescent="0.25">
      <c r="A320" t="s">
        <v>416</v>
      </c>
      <c r="B320" s="3">
        <v>46161</v>
      </c>
      <c r="C320" t="s">
        <v>151</v>
      </c>
      <c r="D320" t="s">
        <v>18</v>
      </c>
      <c r="E320" t="s">
        <v>452</v>
      </c>
      <c r="F320" t="s">
        <v>454</v>
      </c>
      <c r="G320" s="4">
        <v>94054900</v>
      </c>
      <c r="H320">
        <v>5</v>
      </c>
      <c r="I320">
        <v>264.41000000000003</v>
      </c>
      <c r="J320">
        <v>1322.0500000000002</v>
      </c>
      <c r="K320">
        <v>118.98450000000001</v>
      </c>
      <c r="L320">
        <v>118.98450000000001</v>
      </c>
      <c r="M320">
        <v>1560</v>
      </c>
    </row>
    <row r="321" spans="1:13" x14ac:dyDescent="0.25">
      <c r="A321" t="s">
        <v>416</v>
      </c>
      <c r="B321" s="3">
        <v>46161</v>
      </c>
      <c r="C321" t="s">
        <v>151</v>
      </c>
      <c r="D321" t="s">
        <v>145</v>
      </c>
      <c r="E321" t="s">
        <v>452</v>
      </c>
      <c r="F321" t="s">
        <v>454</v>
      </c>
      <c r="G321" s="4">
        <v>94054900</v>
      </c>
      <c r="H321">
        <v>40</v>
      </c>
      <c r="I321">
        <v>71.19</v>
      </c>
      <c r="J321">
        <v>2847.6</v>
      </c>
      <c r="K321">
        <v>256.28399999999999</v>
      </c>
      <c r="L321">
        <v>256.28399999999999</v>
      </c>
      <c r="M321">
        <v>3360.2</v>
      </c>
    </row>
    <row r="322" spans="1:13" x14ac:dyDescent="0.25">
      <c r="A322" t="s">
        <v>416</v>
      </c>
      <c r="B322" s="3">
        <v>46161</v>
      </c>
      <c r="C322" t="s">
        <v>151</v>
      </c>
      <c r="D322" t="s">
        <v>68</v>
      </c>
      <c r="E322" t="s">
        <v>452</v>
      </c>
      <c r="F322" t="s">
        <v>454</v>
      </c>
      <c r="G322" s="4">
        <v>94054900</v>
      </c>
      <c r="H322">
        <v>3</v>
      </c>
      <c r="I322">
        <v>399.15</v>
      </c>
      <c r="J322">
        <v>1197.4499999999998</v>
      </c>
      <c r="K322">
        <v>107.77049999999998</v>
      </c>
      <c r="L322">
        <v>107.77049999999998</v>
      </c>
      <c r="M322">
        <v>1413</v>
      </c>
    </row>
    <row r="323" spans="1:13" x14ac:dyDescent="0.25">
      <c r="A323" t="s">
        <v>416</v>
      </c>
      <c r="B323" s="3">
        <v>46161</v>
      </c>
      <c r="C323" t="s">
        <v>151</v>
      </c>
      <c r="D323" t="s">
        <v>55</v>
      </c>
      <c r="E323" t="s">
        <v>452</v>
      </c>
      <c r="F323" t="s">
        <v>454</v>
      </c>
      <c r="G323" s="4">
        <v>94054900</v>
      </c>
      <c r="H323">
        <v>3</v>
      </c>
      <c r="I323">
        <v>803.39</v>
      </c>
      <c r="J323">
        <v>2410.17</v>
      </c>
      <c r="K323">
        <v>216.9153</v>
      </c>
      <c r="L323">
        <v>216.9153</v>
      </c>
      <c r="M323">
        <v>2844</v>
      </c>
    </row>
    <row r="324" spans="1:13" x14ac:dyDescent="0.25">
      <c r="A324" t="s">
        <v>416</v>
      </c>
      <c r="B324" s="3">
        <v>46161</v>
      </c>
      <c r="C324" t="s">
        <v>151</v>
      </c>
      <c r="D324" t="s">
        <v>138</v>
      </c>
      <c r="E324" t="s">
        <v>452</v>
      </c>
      <c r="F324" t="s">
        <v>454</v>
      </c>
      <c r="G324" s="4">
        <v>94054900</v>
      </c>
      <c r="H324">
        <v>1</v>
      </c>
      <c r="I324">
        <v>1642.37</v>
      </c>
      <c r="J324">
        <v>1642.37</v>
      </c>
      <c r="K324">
        <v>147.8133</v>
      </c>
      <c r="L324">
        <v>147.8133</v>
      </c>
      <c r="M324">
        <v>1938</v>
      </c>
    </row>
    <row r="325" spans="1:13" x14ac:dyDescent="0.25">
      <c r="A325" t="s">
        <v>416</v>
      </c>
      <c r="B325" s="3">
        <v>46161</v>
      </c>
      <c r="C325" t="s">
        <v>151</v>
      </c>
      <c r="D325" t="s">
        <v>54</v>
      </c>
      <c r="E325" t="s">
        <v>452</v>
      </c>
      <c r="F325" t="s">
        <v>454</v>
      </c>
      <c r="G325" s="4">
        <v>94054900</v>
      </c>
      <c r="H325">
        <v>10</v>
      </c>
      <c r="I325">
        <v>119.49</v>
      </c>
      <c r="J325">
        <v>1194.8999999999999</v>
      </c>
      <c r="K325">
        <v>107.54099999999998</v>
      </c>
      <c r="L325">
        <v>107.54099999999998</v>
      </c>
      <c r="M325">
        <v>1410</v>
      </c>
    </row>
    <row r="326" spans="1:13" x14ac:dyDescent="0.25">
      <c r="A326" t="s">
        <v>416</v>
      </c>
      <c r="B326" s="3">
        <v>46161</v>
      </c>
      <c r="C326" t="s">
        <v>151</v>
      </c>
      <c r="D326" t="s">
        <v>64</v>
      </c>
      <c r="E326" t="s">
        <v>452</v>
      </c>
      <c r="F326" t="s">
        <v>454</v>
      </c>
      <c r="G326" s="4">
        <v>94054900</v>
      </c>
      <c r="H326">
        <v>10</v>
      </c>
      <c r="I326">
        <v>161.02000000000001</v>
      </c>
      <c r="J326">
        <v>1610.2</v>
      </c>
      <c r="K326">
        <v>144.91800000000001</v>
      </c>
      <c r="L326">
        <v>144.91800000000001</v>
      </c>
      <c r="M326">
        <v>1900</v>
      </c>
    </row>
    <row r="327" spans="1:13" x14ac:dyDescent="0.25">
      <c r="A327" t="s">
        <v>416</v>
      </c>
      <c r="B327" s="3">
        <v>46161</v>
      </c>
      <c r="C327" t="s">
        <v>151</v>
      </c>
      <c r="D327" t="s">
        <v>139</v>
      </c>
      <c r="E327" t="s">
        <v>452</v>
      </c>
      <c r="F327" t="s">
        <v>454</v>
      </c>
      <c r="G327" s="4">
        <v>94054900</v>
      </c>
      <c r="H327">
        <v>2</v>
      </c>
      <c r="I327">
        <v>618.64</v>
      </c>
      <c r="J327">
        <v>1237.28</v>
      </c>
      <c r="K327">
        <v>111.3552</v>
      </c>
      <c r="L327">
        <v>111.3552</v>
      </c>
      <c r="M327">
        <v>1460</v>
      </c>
    </row>
    <row r="328" spans="1:13" x14ac:dyDescent="0.25">
      <c r="A328" t="s">
        <v>416</v>
      </c>
      <c r="B328" s="3">
        <v>46161</v>
      </c>
      <c r="C328" t="s">
        <v>151</v>
      </c>
      <c r="D328" t="s">
        <v>11</v>
      </c>
      <c r="E328" t="s">
        <v>452</v>
      </c>
      <c r="F328" t="s">
        <v>454</v>
      </c>
      <c r="G328" s="4">
        <v>94054900</v>
      </c>
      <c r="H328">
        <v>10</v>
      </c>
      <c r="I328">
        <v>46.61</v>
      </c>
      <c r="J328">
        <v>466.1</v>
      </c>
      <c r="K328">
        <v>41.948999999999998</v>
      </c>
      <c r="L328">
        <v>41.948999999999998</v>
      </c>
      <c r="M328">
        <v>550</v>
      </c>
    </row>
    <row r="329" spans="1:13" x14ac:dyDescent="0.25">
      <c r="A329" t="s">
        <v>416</v>
      </c>
      <c r="B329" s="3">
        <v>46161</v>
      </c>
      <c r="C329" t="s">
        <v>151</v>
      </c>
      <c r="D329" t="s">
        <v>123</v>
      </c>
      <c r="E329" t="s">
        <v>452</v>
      </c>
      <c r="F329" t="s">
        <v>454</v>
      </c>
      <c r="G329" s="4">
        <v>94054900</v>
      </c>
      <c r="H329">
        <v>15</v>
      </c>
      <c r="I329">
        <v>132.19999999999999</v>
      </c>
      <c r="J329">
        <v>1982.9999999999998</v>
      </c>
      <c r="K329">
        <v>178.46999999999997</v>
      </c>
      <c r="L329">
        <v>178.46999999999997</v>
      </c>
      <c r="M329">
        <v>2339.9</v>
      </c>
    </row>
    <row r="330" spans="1:13" x14ac:dyDescent="0.25">
      <c r="A330" t="s">
        <v>415</v>
      </c>
      <c r="B330" s="3">
        <v>46161</v>
      </c>
      <c r="C330" t="s">
        <v>10</v>
      </c>
      <c r="D330" t="s">
        <v>140</v>
      </c>
      <c r="E330" t="s">
        <v>452</v>
      </c>
      <c r="F330" t="s">
        <v>454</v>
      </c>
      <c r="G330" s="4">
        <v>94054900</v>
      </c>
      <c r="H330">
        <v>5</v>
      </c>
      <c r="I330">
        <v>122.88</v>
      </c>
      <c r="J330">
        <v>614.4</v>
      </c>
      <c r="K330">
        <v>55.295999999999999</v>
      </c>
      <c r="L330">
        <v>55.295999999999999</v>
      </c>
      <c r="M330">
        <v>725</v>
      </c>
    </row>
    <row r="331" spans="1:13" x14ac:dyDescent="0.25">
      <c r="A331" t="s">
        <v>241</v>
      </c>
      <c r="B331" s="3">
        <v>46160</v>
      </c>
      <c r="C331" t="s">
        <v>110</v>
      </c>
      <c r="D331" t="s">
        <v>82</v>
      </c>
      <c r="E331" t="s">
        <v>452</v>
      </c>
      <c r="F331" t="s">
        <v>453</v>
      </c>
      <c r="G331" s="4">
        <v>84145120</v>
      </c>
      <c r="H331" s="4">
        <v>4</v>
      </c>
      <c r="I331" s="4">
        <v>1144.07</v>
      </c>
      <c r="J331">
        <v>4576.28</v>
      </c>
      <c r="K331">
        <v>411.86519999999996</v>
      </c>
      <c r="L331">
        <v>411.86519999999996</v>
      </c>
      <c r="M331">
        <v>5400</v>
      </c>
    </row>
    <row r="332" spans="1:13" x14ac:dyDescent="0.25">
      <c r="A332" t="s">
        <v>240</v>
      </c>
      <c r="B332" s="3">
        <v>46160</v>
      </c>
      <c r="C332" t="s">
        <v>211</v>
      </c>
      <c r="D332" t="s">
        <v>142</v>
      </c>
      <c r="E332" t="s">
        <v>452</v>
      </c>
      <c r="F332" t="s">
        <v>453</v>
      </c>
      <c r="G332" s="4">
        <v>84145120</v>
      </c>
      <c r="H332" s="4">
        <v>2</v>
      </c>
      <c r="I332" s="4">
        <v>2004.24</v>
      </c>
      <c r="J332">
        <v>4008.48</v>
      </c>
      <c r="K332">
        <v>360.76319999999998</v>
      </c>
      <c r="L332">
        <v>360.76319999999998</v>
      </c>
      <c r="M332">
        <v>4730</v>
      </c>
    </row>
    <row r="333" spans="1:13" x14ac:dyDescent="0.25">
      <c r="A333" t="s">
        <v>239</v>
      </c>
      <c r="B333" s="3">
        <v>46160</v>
      </c>
      <c r="C333" t="s">
        <v>78</v>
      </c>
      <c r="D333" t="s">
        <v>82</v>
      </c>
      <c r="E333" t="s">
        <v>452</v>
      </c>
      <c r="F333" t="s">
        <v>453</v>
      </c>
      <c r="G333" s="4">
        <v>84145120</v>
      </c>
      <c r="H333">
        <v>2</v>
      </c>
      <c r="I333">
        <v>1144.07</v>
      </c>
      <c r="J333">
        <v>2288.14</v>
      </c>
      <c r="K333">
        <v>205.93259999999998</v>
      </c>
      <c r="L333">
        <v>205.93259999999998</v>
      </c>
      <c r="M333">
        <v>2700</v>
      </c>
    </row>
    <row r="334" spans="1:13" x14ac:dyDescent="0.25">
      <c r="A334" t="s">
        <v>235</v>
      </c>
      <c r="B334" s="3">
        <v>46159</v>
      </c>
      <c r="C334" t="s">
        <v>236</v>
      </c>
      <c r="D334" t="s">
        <v>178</v>
      </c>
      <c r="E334" t="s">
        <v>133</v>
      </c>
      <c r="F334" t="s">
        <v>454</v>
      </c>
      <c r="G334" s="4">
        <v>94054090</v>
      </c>
      <c r="H334" s="4">
        <v>20</v>
      </c>
      <c r="I334" s="4">
        <v>86.44</v>
      </c>
      <c r="J334">
        <v>1728.8</v>
      </c>
      <c r="K334">
        <v>155.59199999999998</v>
      </c>
      <c r="L334">
        <v>155.59199999999998</v>
      </c>
      <c r="M334">
        <v>2040</v>
      </c>
    </row>
    <row r="335" spans="1:13" x14ac:dyDescent="0.25">
      <c r="A335" t="s">
        <v>235</v>
      </c>
      <c r="B335" s="3">
        <v>46159</v>
      </c>
      <c r="C335" t="s">
        <v>236</v>
      </c>
      <c r="D335" t="s">
        <v>237</v>
      </c>
      <c r="E335" t="s">
        <v>133</v>
      </c>
      <c r="F335" t="s">
        <v>454</v>
      </c>
      <c r="G335" s="4">
        <v>94054090</v>
      </c>
      <c r="H335" s="4">
        <v>20</v>
      </c>
      <c r="I335" s="4">
        <v>133.05000000000001</v>
      </c>
      <c r="J335">
        <v>2661</v>
      </c>
      <c r="K335">
        <v>239.48999999999998</v>
      </c>
      <c r="L335">
        <v>239.48999999999998</v>
      </c>
      <c r="M335">
        <v>3140</v>
      </c>
    </row>
    <row r="336" spans="1:13" x14ac:dyDescent="0.25">
      <c r="A336" t="s">
        <v>235</v>
      </c>
      <c r="B336" s="3">
        <v>46159</v>
      </c>
      <c r="C336" t="s">
        <v>236</v>
      </c>
      <c r="D336" t="s">
        <v>237</v>
      </c>
      <c r="E336" t="s">
        <v>133</v>
      </c>
      <c r="F336" t="s">
        <v>454</v>
      </c>
      <c r="G336" s="4">
        <v>94054090</v>
      </c>
      <c r="H336" s="4">
        <v>20</v>
      </c>
      <c r="I336" s="4">
        <v>133.9</v>
      </c>
      <c r="J336">
        <v>2678</v>
      </c>
      <c r="K336">
        <v>241.01999999999998</v>
      </c>
      <c r="L336">
        <v>241.01999999999998</v>
      </c>
      <c r="M336">
        <v>3160</v>
      </c>
    </row>
    <row r="337" spans="1:13" x14ac:dyDescent="0.25">
      <c r="A337" t="s">
        <v>235</v>
      </c>
      <c r="B337" s="3">
        <v>46159</v>
      </c>
      <c r="C337" t="s">
        <v>236</v>
      </c>
      <c r="D337" t="s">
        <v>238</v>
      </c>
      <c r="E337" t="s">
        <v>133</v>
      </c>
      <c r="F337" t="s">
        <v>454</v>
      </c>
      <c r="G337" s="4">
        <v>94054090</v>
      </c>
      <c r="H337" s="4">
        <v>2</v>
      </c>
      <c r="I337" s="4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t="s">
        <v>232</v>
      </c>
      <c r="B338" s="3">
        <v>46159</v>
      </c>
      <c r="C338" t="s">
        <v>233</v>
      </c>
      <c r="D338" t="s">
        <v>234</v>
      </c>
      <c r="E338" t="s">
        <v>133</v>
      </c>
      <c r="F338" t="s">
        <v>454</v>
      </c>
      <c r="H338">
        <v>5</v>
      </c>
      <c r="I338">
        <v>923.73</v>
      </c>
      <c r="J338">
        <v>4618.6499999999996</v>
      </c>
      <c r="K338">
        <v>415.67849999999993</v>
      </c>
      <c r="L338">
        <v>415.67849999999993</v>
      </c>
      <c r="M338">
        <v>5450</v>
      </c>
    </row>
    <row r="339" spans="1:13" x14ac:dyDescent="0.25">
      <c r="A339" t="s">
        <v>229</v>
      </c>
      <c r="B339" s="3">
        <v>46159</v>
      </c>
      <c r="C339" t="s">
        <v>230</v>
      </c>
      <c r="D339" t="s">
        <v>213</v>
      </c>
      <c r="E339" t="s">
        <v>133</v>
      </c>
      <c r="F339" t="s">
        <v>454</v>
      </c>
      <c r="H339">
        <v>100</v>
      </c>
      <c r="I339">
        <v>25.42</v>
      </c>
      <c r="J339">
        <v>2542</v>
      </c>
      <c r="K339">
        <v>228.78</v>
      </c>
      <c r="L339">
        <v>228.78</v>
      </c>
      <c r="M339">
        <v>2999.6</v>
      </c>
    </row>
    <row r="340" spans="1:13" x14ac:dyDescent="0.25">
      <c r="A340" t="s">
        <v>229</v>
      </c>
      <c r="B340" s="3">
        <v>46159</v>
      </c>
      <c r="C340" t="s">
        <v>230</v>
      </c>
      <c r="D340" t="s">
        <v>186</v>
      </c>
      <c r="E340" t="s">
        <v>133</v>
      </c>
      <c r="F340" t="s">
        <v>454</v>
      </c>
      <c r="H340">
        <v>20</v>
      </c>
      <c r="I340">
        <v>135.59</v>
      </c>
      <c r="J340">
        <v>2711.8</v>
      </c>
      <c r="K340">
        <v>244.06200000000001</v>
      </c>
      <c r="L340">
        <v>244.06200000000001</v>
      </c>
      <c r="M340">
        <v>3199.9</v>
      </c>
    </row>
    <row r="341" spans="1:13" x14ac:dyDescent="0.25">
      <c r="A341" t="s">
        <v>229</v>
      </c>
      <c r="B341" s="3">
        <v>46159</v>
      </c>
      <c r="C341" t="s">
        <v>230</v>
      </c>
      <c r="D341" t="s">
        <v>231</v>
      </c>
      <c r="E341" t="s">
        <v>133</v>
      </c>
      <c r="F341" t="s">
        <v>454</v>
      </c>
      <c r="H341">
        <v>50</v>
      </c>
      <c r="I341">
        <v>55.08</v>
      </c>
      <c r="J341">
        <v>2754</v>
      </c>
      <c r="K341">
        <v>247.85999999999999</v>
      </c>
      <c r="L341">
        <v>247.85999999999999</v>
      </c>
      <c r="M341">
        <v>3249.7</v>
      </c>
    </row>
    <row r="342" spans="1:13" x14ac:dyDescent="0.25">
      <c r="A342" t="s">
        <v>227</v>
      </c>
      <c r="B342" s="3">
        <v>46159</v>
      </c>
      <c r="C342" t="s">
        <v>79</v>
      </c>
      <c r="D342" t="s">
        <v>228</v>
      </c>
      <c r="E342" t="s">
        <v>133</v>
      </c>
      <c r="F342" t="s">
        <v>454</v>
      </c>
      <c r="H342" s="4">
        <v>14</v>
      </c>
      <c r="I342" s="4">
        <v>29.66</v>
      </c>
      <c r="J342">
        <v>415.24</v>
      </c>
      <c r="K342">
        <v>37.371600000000001</v>
      </c>
      <c r="L342">
        <v>37.371600000000001</v>
      </c>
      <c r="M342">
        <v>490</v>
      </c>
    </row>
    <row r="343" spans="1:13" x14ac:dyDescent="0.25">
      <c r="A343" t="s">
        <v>227</v>
      </c>
      <c r="B343" s="3">
        <v>46159</v>
      </c>
      <c r="C343" t="s">
        <v>79</v>
      </c>
      <c r="D343" t="s">
        <v>191</v>
      </c>
      <c r="E343" t="s">
        <v>133</v>
      </c>
      <c r="F343" t="s">
        <v>454</v>
      </c>
      <c r="H343" s="4">
        <v>8</v>
      </c>
      <c r="I343" s="4">
        <v>203.39</v>
      </c>
      <c r="J343">
        <v>1627.12</v>
      </c>
      <c r="K343">
        <v>146.4408</v>
      </c>
      <c r="L343">
        <v>146.4408</v>
      </c>
      <c r="M343">
        <v>1920</v>
      </c>
    </row>
    <row r="344" spans="1:13" x14ac:dyDescent="0.25">
      <c r="A344" t="s">
        <v>226</v>
      </c>
      <c r="B344" s="3">
        <v>46157</v>
      </c>
      <c r="C344" t="s">
        <v>108</v>
      </c>
      <c r="D344" t="s">
        <v>142</v>
      </c>
      <c r="E344" t="s">
        <v>452</v>
      </c>
      <c r="F344" t="s">
        <v>453</v>
      </c>
      <c r="G344" s="4">
        <v>84145120</v>
      </c>
      <c r="H344" s="4">
        <v>4</v>
      </c>
      <c r="I344" s="4">
        <v>1991.53</v>
      </c>
      <c r="J344">
        <v>7966.12</v>
      </c>
      <c r="K344">
        <v>716.95079999999996</v>
      </c>
      <c r="L344">
        <v>716.95079999999996</v>
      </c>
      <c r="M344">
        <v>9400</v>
      </c>
    </row>
    <row r="345" spans="1:13" x14ac:dyDescent="0.25">
      <c r="A345" t="s">
        <v>224</v>
      </c>
      <c r="B345" s="3">
        <v>46157</v>
      </c>
      <c r="C345" t="s">
        <v>225</v>
      </c>
      <c r="D345" t="s">
        <v>82</v>
      </c>
      <c r="E345" t="s">
        <v>452</v>
      </c>
      <c r="F345" t="s">
        <v>453</v>
      </c>
      <c r="G345" s="4">
        <v>84145120</v>
      </c>
      <c r="H345" s="4">
        <v>4</v>
      </c>
      <c r="I345" s="4">
        <v>1144.07</v>
      </c>
      <c r="J345">
        <v>4576.28</v>
      </c>
      <c r="K345">
        <v>411.86519999999996</v>
      </c>
      <c r="L345">
        <v>411.86519999999996</v>
      </c>
      <c r="M345">
        <v>5400</v>
      </c>
    </row>
    <row r="346" spans="1:13" x14ac:dyDescent="0.25">
      <c r="A346" t="s">
        <v>223</v>
      </c>
      <c r="B346" s="3">
        <v>46156</v>
      </c>
      <c r="C346" t="s">
        <v>86</v>
      </c>
      <c r="D346" t="s">
        <v>82</v>
      </c>
      <c r="E346" t="s">
        <v>452</v>
      </c>
      <c r="F346" t="s">
        <v>453</v>
      </c>
      <c r="G346" s="4">
        <v>84145120</v>
      </c>
      <c r="H346" s="4">
        <v>3</v>
      </c>
      <c r="I346" s="4">
        <v>1144.06</v>
      </c>
      <c r="J346">
        <v>3432.18</v>
      </c>
      <c r="K346">
        <v>308.89619999999996</v>
      </c>
      <c r="L346">
        <v>308.89619999999996</v>
      </c>
      <c r="M346">
        <v>4050</v>
      </c>
    </row>
    <row r="347" spans="1:13" x14ac:dyDescent="0.25">
      <c r="A347" t="s">
        <v>217</v>
      </c>
      <c r="B347" s="3">
        <v>46156</v>
      </c>
      <c r="C347" t="s">
        <v>112</v>
      </c>
      <c r="D347" t="s">
        <v>218</v>
      </c>
      <c r="E347" t="s">
        <v>133</v>
      </c>
      <c r="F347" t="s">
        <v>454</v>
      </c>
      <c r="H347">
        <v>60</v>
      </c>
      <c r="I347">
        <v>101.69</v>
      </c>
      <c r="J347">
        <v>6101.4</v>
      </c>
      <c r="K347">
        <v>549.12599999999998</v>
      </c>
      <c r="L347">
        <v>549.12599999999998</v>
      </c>
      <c r="M347">
        <v>7199.7</v>
      </c>
    </row>
    <row r="348" spans="1:13" x14ac:dyDescent="0.25">
      <c r="A348" t="s">
        <v>217</v>
      </c>
      <c r="B348" s="3">
        <v>46156</v>
      </c>
      <c r="C348" t="s">
        <v>112</v>
      </c>
      <c r="D348" t="s">
        <v>219</v>
      </c>
      <c r="E348" t="s">
        <v>133</v>
      </c>
      <c r="F348" t="s">
        <v>454</v>
      </c>
      <c r="H348">
        <v>30</v>
      </c>
      <c r="I348">
        <v>207.63</v>
      </c>
      <c r="J348">
        <v>6228.9</v>
      </c>
      <c r="K348">
        <v>560.601</v>
      </c>
      <c r="L348">
        <v>560.601</v>
      </c>
      <c r="M348">
        <v>7350.1</v>
      </c>
    </row>
    <row r="349" spans="1:13" x14ac:dyDescent="0.25">
      <c r="A349" t="s">
        <v>217</v>
      </c>
      <c r="B349" s="3">
        <v>46156</v>
      </c>
      <c r="C349" t="s">
        <v>112</v>
      </c>
      <c r="D349" t="s">
        <v>213</v>
      </c>
      <c r="E349" t="s">
        <v>133</v>
      </c>
      <c r="F349" t="s">
        <v>454</v>
      </c>
      <c r="H349">
        <v>200</v>
      </c>
      <c r="I349">
        <v>24.58</v>
      </c>
      <c r="J349">
        <v>4916</v>
      </c>
      <c r="K349">
        <v>442.44</v>
      </c>
      <c r="L349">
        <v>442.44</v>
      </c>
      <c r="M349">
        <v>5800.9</v>
      </c>
    </row>
    <row r="350" spans="1:13" x14ac:dyDescent="0.25">
      <c r="A350" t="s">
        <v>217</v>
      </c>
      <c r="B350" s="3">
        <v>46156</v>
      </c>
      <c r="C350" t="s">
        <v>112</v>
      </c>
      <c r="D350" t="s">
        <v>220</v>
      </c>
      <c r="E350" t="s">
        <v>133</v>
      </c>
      <c r="F350" t="s">
        <v>454</v>
      </c>
      <c r="H350">
        <v>5</v>
      </c>
      <c r="I350">
        <v>720.34</v>
      </c>
      <c r="J350">
        <v>3601.7000000000003</v>
      </c>
      <c r="K350">
        <v>324.15300000000002</v>
      </c>
      <c r="L350">
        <v>324.15300000000002</v>
      </c>
      <c r="M350">
        <v>4250</v>
      </c>
    </row>
    <row r="351" spans="1:13" x14ac:dyDescent="0.25">
      <c r="A351" t="s">
        <v>217</v>
      </c>
      <c r="B351" s="3">
        <v>46156</v>
      </c>
      <c r="C351" t="s">
        <v>112</v>
      </c>
      <c r="D351" t="s">
        <v>221</v>
      </c>
      <c r="E351" t="s">
        <v>133</v>
      </c>
      <c r="F351" t="s">
        <v>454</v>
      </c>
      <c r="G351" s="4">
        <v>94054090</v>
      </c>
      <c r="H351">
        <v>10</v>
      </c>
      <c r="I351">
        <v>635.59</v>
      </c>
      <c r="J351">
        <v>6355.9000000000005</v>
      </c>
      <c r="K351">
        <v>572.03100000000006</v>
      </c>
      <c r="L351">
        <v>572.03100000000006</v>
      </c>
      <c r="M351">
        <v>7500</v>
      </c>
    </row>
    <row r="352" spans="1:13" x14ac:dyDescent="0.25">
      <c r="A352" t="s">
        <v>217</v>
      </c>
      <c r="B352" s="3">
        <v>46156</v>
      </c>
      <c r="C352" t="s">
        <v>112</v>
      </c>
      <c r="D352" t="s">
        <v>64</v>
      </c>
      <c r="E352" t="s">
        <v>452</v>
      </c>
      <c r="F352" t="s">
        <v>454</v>
      </c>
      <c r="G352" s="4">
        <v>94054900</v>
      </c>
      <c r="H352">
        <v>20</v>
      </c>
      <c r="I352">
        <v>207.63</v>
      </c>
      <c r="J352">
        <v>4152.6000000000004</v>
      </c>
      <c r="K352">
        <v>373.73400000000004</v>
      </c>
      <c r="L352">
        <v>373.73400000000004</v>
      </c>
      <c r="M352">
        <v>4900.1000000000004</v>
      </c>
    </row>
    <row r="353" spans="1:13" x14ac:dyDescent="0.25">
      <c r="A353" t="s">
        <v>217</v>
      </c>
      <c r="B353" s="3">
        <v>46156</v>
      </c>
      <c r="C353" t="s">
        <v>112</v>
      </c>
      <c r="D353" t="s">
        <v>222</v>
      </c>
      <c r="E353" t="s">
        <v>133</v>
      </c>
      <c r="F353" t="s">
        <v>454</v>
      </c>
      <c r="H353">
        <v>3</v>
      </c>
      <c r="I353">
        <v>805.08</v>
      </c>
      <c r="J353">
        <v>2415.2400000000002</v>
      </c>
      <c r="K353">
        <v>217.3716</v>
      </c>
      <c r="L353">
        <v>217.3716</v>
      </c>
      <c r="M353">
        <v>2850</v>
      </c>
    </row>
    <row r="354" spans="1:13" x14ac:dyDescent="0.25">
      <c r="A354" t="s">
        <v>217</v>
      </c>
      <c r="B354" s="3">
        <v>46156</v>
      </c>
      <c r="C354" t="s">
        <v>112</v>
      </c>
      <c r="D354" t="s">
        <v>89</v>
      </c>
      <c r="E354" t="s">
        <v>452</v>
      </c>
      <c r="F354" t="s">
        <v>453</v>
      </c>
      <c r="G354" s="4">
        <v>84145120</v>
      </c>
      <c r="H354">
        <v>1</v>
      </c>
      <c r="I354">
        <v>1906.78</v>
      </c>
      <c r="J354">
        <v>1906.78</v>
      </c>
      <c r="K354">
        <v>171.61019999999999</v>
      </c>
      <c r="L354">
        <v>171.61019999999999</v>
      </c>
      <c r="M354">
        <v>2250</v>
      </c>
    </row>
    <row r="355" spans="1:13" x14ac:dyDescent="0.25">
      <c r="A355" t="s">
        <v>217</v>
      </c>
      <c r="B355" s="3">
        <v>46156</v>
      </c>
      <c r="C355" t="s">
        <v>112</v>
      </c>
      <c r="D355" t="s">
        <v>33</v>
      </c>
      <c r="E355" t="s">
        <v>452</v>
      </c>
      <c r="F355" t="s">
        <v>453</v>
      </c>
      <c r="G355" s="4">
        <v>84145120</v>
      </c>
      <c r="H355">
        <v>2</v>
      </c>
      <c r="I355">
        <v>1906.78</v>
      </c>
      <c r="J355">
        <v>3813.56</v>
      </c>
      <c r="K355">
        <v>343.22039999999998</v>
      </c>
      <c r="L355">
        <v>343.22039999999998</v>
      </c>
      <c r="M355">
        <v>4500</v>
      </c>
    </row>
    <row r="356" spans="1:13" x14ac:dyDescent="0.25">
      <c r="A356" t="s">
        <v>217</v>
      </c>
      <c r="B356" s="3">
        <v>46156</v>
      </c>
      <c r="C356" t="s">
        <v>112</v>
      </c>
      <c r="D356" t="s">
        <v>95</v>
      </c>
      <c r="E356" t="s">
        <v>452</v>
      </c>
      <c r="F356" t="s">
        <v>453</v>
      </c>
      <c r="G356" s="4">
        <v>84145120</v>
      </c>
      <c r="H356">
        <v>2</v>
      </c>
      <c r="I356">
        <v>2796.61</v>
      </c>
      <c r="J356">
        <v>5593.22</v>
      </c>
      <c r="K356">
        <v>503.38979999999998</v>
      </c>
      <c r="L356">
        <v>503.38979999999998</v>
      </c>
      <c r="M356">
        <v>6600</v>
      </c>
    </row>
    <row r="357" spans="1:13" x14ac:dyDescent="0.25">
      <c r="A357" t="s">
        <v>414</v>
      </c>
      <c r="B357" s="3">
        <v>46155</v>
      </c>
      <c r="C357" t="s">
        <v>31</v>
      </c>
      <c r="D357" t="s">
        <v>47</v>
      </c>
      <c r="E357" t="s">
        <v>452</v>
      </c>
      <c r="F357" t="s">
        <v>454</v>
      </c>
      <c r="G357" s="4">
        <v>94054900</v>
      </c>
      <c r="H357">
        <v>24</v>
      </c>
      <c r="I357">
        <v>216.1</v>
      </c>
      <c r="J357">
        <v>5186.3999999999996</v>
      </c>
      <c r="K357">
        <v>466.77599999999995</v>
      </c>
      <c r="L357">
        <v>466.77599999999995</v>
      </c>
      <c r="M357">
        <v>6120</v>
      </c>
    </row>
    <row r="358" spans="1:13" x14ac:dyDescent="0.25">
      <c r="A358" t="s">
        <v>414</v>
      </c>
      <c r="B358" s="3">
        <v>46155</v>
      </c>
      <c r="C358" t="s">
        <v>31</v>
      </c>
      <c r="D358" t="s">
        <v>32</v>
      </c>
      <c r="E358" t="s">
        <v>452</v>
      </c>
      <c r="F358" t="s">
        <v>454</v>
      </c>
      <c r="G358" s="4">
        <v>94054900</v>
      </c>
      <c r="H358">
        <v>4</v>
      </c>
      <c r="I358">
        <v>542.37</v>
      </c>
      <c r="J358">
        <v>2169.48</v>
      </c>
      <c r="K358">
        <v>195.25319999999999</v>
      </c>
      <c r="L358">
        <v>195.25319999999999</v>
      </c>
      <c r="M358">
        <v>2560</v>
      </c>
    </row>
    <row r="359" spans="1:13" x14ac:dyDescent="0.25">
      <c r="A359" t="s">
        <v>414</v>
      </c>
      <c r="B359" s="3">
        <v>46155</v>
      </c>
      <c r="C359" t="s">
        <v>31</v>
      </c>
      <c r="D359" t="s">
        <v>55</v>
      </c>
      <c r="E359" t="s">
        <v>452</v>
      </c>
      <c r="F359" t="s">
        <v>454</v>
      </c>
      <c r="G359" s="4">
        <v>94054900</v>
      </c>
      <c r="H359">
        <v>4</v>
      </c>
      <c r="I359">
        <v>885.59</v>
      </c>
      <c r="J359">
        <v>3542.36</v>
      </c>
      <c r="K359">
        <v>318.81240000000003</v>
      </c>
      <c r="L359">
        <v>318.81240000000003</v>
      </c>
      <c r="M359">
        <v>4180</v>
      </c>
    </row>
    <row r="360" spans="1:13" x14ac:dyDescent="0.25">
      <c r="A360" t="s">
        <v>413</v>
      </c>
      <c r="B360" s="3">
        <v>46154</v>
      </c>
      <c r="C360" t="s">
        <v>153</v>
      </c>
      <c r="D360" t="s">
        <v>47</v>
      </c>
      <c r="E360" t="s">
        <v>452</v>
      </c>
      <c r="F360" t="s">
        <v>454</v>
      </c>
      <c r="G360" s="4">
        <v>94054900</v>
      </c>
      <c r="H360">
        <v>6</v>
      </c>
      <c r="I360">
        <v>216.1</v>
      </c>
      <c r="J360">
        <v>1296.5999999999999</v>
      </c>
      <c r="K360">
        <v>116.69399999999999</v>
      </c>
      <c r="L360">
        <v>116.69399999999999</v>
      </c>
      <c r="M360">
        <v>1530</v>
      </c>
    </row>
    <row r="361" spans="1:13" x14ac:dyDescent="0.25">
      <c r="A361" t="s">
        <v>216</v>
      </c>
      <c r="B361" s="3">
        <v>46153</v>
      </c>
      <c r="C361" t="s">
        <v>108</v>
      </c>
      <c r="D361" t="s">
        <v>81</v>
      </c>
      <c r="E361" t="s">
        <v>452</v>
      </c>
      <c r="F361" t="s">
        <v>453</v>
      </c>
      <c r="G361" s="4">
        <v>84145120</v>
      </c>
      <c r="H361" s="4">
        <v>1</v>
      </c>
      <c r="I361" s="4">
        <v>1906.77</v>
      </c>
      <c r="J361">
        <v>1906.77</v>
      </c>
      <c r="K361">
        <v>171.60929999999999</v>
      </c>
      <c r="L361">
        <v>171.60929999999999</v>
      </c>
      <c r="M361">
        <v>2250</v>
      </c>
    </row>
    <row r="362" spans="1:13" x14ac:dyDescent="0.25">
      <c r="A362" t="s">
        <v>216</v>
      </c>
      <c r="B362" s="3">
        <v>46153</v>
      </c>
      <c r="C362" t="s">
        <v>108</v>
      </c>
      <c r="D362" t="s">
        <v>33</v>
      </c>
      <c r="E362" t="s">
        <v>452</v>
      </c>
      <c r="F362" t="s">
        <v>453</v>
      </c>
      <c r="G362" s="4">
        <v>84145120</v>
      </c>
      <c r="H362" s="4">
        <v>1</v>
      </c>
      <c r="I362" s="4">
        <v>1906.77</v>
      </c>
      <c r="J362">
        <v>1906.77</v>
      </c>
      <c r="K362">
        <v>171.60929999999999</v>
      </c>
      <c r="L362">
        <v>171.60929999999999</v>
      </c>
      <c r="M362">
        <v>2250</v>
      </c>
    </row>
    <row r="363" spans="1:13" x14ac:dyDescent="0.25">
      <c r="A363" t="s">
        <v>412</v>
      </c>
      <c r="B363" s="3">
        <v>46147</v>
      </c>
      <c r="C363" t="s">
        <v>146</v>
      </c>
      <c r="D363" t="s">
        <v>47</v>
      </c>
      <c r="E363" t="s">
        <v>452</v>
      </c>
      <c r="F363" t="s">
        <v>454</v>
      </c>
      <c r="G363" s="4">
        <v>94054900</v>
      </c>
      <c r="H363" s="4">
        <v>24</v>
      </c>
      <c r="I363" s="4">
        <v>216.1</v>
      </c>
      <c r="J363">
        <v>5186.3999999999996</v>
      </c>
      <c r="K363">
        <v>466.77599999999995</v>
      </c>
      <c r="L363">
        <v>466.77599999999995</v>
      </c>
      <c r="M363">
        <v>6120</v>
      </c>
    </row>
    <row r="364" spans="1:13" x14ac:dyDescent="0.25">
      <c r="A364" t="s">
        <v>411</v>
      </c>
      <c r="B364" s="3">
        <v>46147</v>
      </c>
      <c r="C364" t="s">
        <v>22</v>
      </c>
      <c r="D364" t="s">
        <v>13</v>
      </c>
      <c r="E364" t="s">
        <v>452</v>
      </c>
      <c r="F364" t="s">
        <v>454</v>
      </c>
      <c r="G364" s="4">
        <v>94054900</v>
      </c>
      <c r="H364">
        <v>20</v>
      </c>
      <c r="I364">
        <v>80.510000000000005</v>
      </c>
      <c r="J364">
        <v>1610.2</v>
      </c>
      <c r="K364">
        <v>144.91800000000001</v>
      </c>
      <c r="L364">
        <v>144.91800000000001</v>
      </c>
      <c r="M364">
        <v>1900</v>
      </c>
    </row>
    <row r="365" spans="1:13" x14ac:dyDescent="0.25">
      <c r="A365" t="s">
        <v>410</v>
      </c>
      <c r="B365" s="3">
        <v>46147</v>
      </c>
      <c r="C365" t="s">
        <v>28</v>
      </c>
      <c r="D365" t="s">
        <v>175</v>
      </c>
      <c r="E365" t="s">
        <v>133</v>
      </c>
      <c r="F365" t="s">
        <v>454</v>
      </c>
      <c r="G365" s="4">
        <v>84145120</v>
      </c>
      <c r="H365" s="4">
        <v>2</v>
      </c>
      <c r="I365" s="4">
        <v>1377.12</v>
      </c>
      <c r="J365">
        <v>2754.24</v>
      </c>
      <c r="K365">
        <v>247.88159999999996</v>
      </c>
      <c r="L365">
        <v>247.88159999999996</v>
      </c>
      <c r="M365">
        <v>3250</v>
      </c>
    </row>
    <row r="366" spans="1:13" x14ac:dyDescent="0.25">
      <c r="A366" t="s">
        <v>410</v>
      </c>
      <c r="B366" s="3">
        <v>46147</v>
      </c>
      <c r="C366" t="s">
        <v>28</v>
      </c>
      <c r="D366" t="s">
        <v>187</v>
      </c>
      <c r="E366" t="s">
        <v>133</v>
      </c>
      <c r="F366" t="s">
        <v>454</v>
      </c>
      <c r="G366" s="4">
        <v>84145120</v>
      </c>
      <c r="H366" s="4">
        <v>2</v>
      </c>
      <c r="I366" s="4">
        <v>1504.24</v>
      </c>
      <c r="J366">
        <v>3008.48</v>
      </c>
      <c r="K366">
        <v>270.76319999999998</v>
      </c>
      <c r="L366">
        <v>270.76319999999998</v>
      </c>
      <c r="M366">
        <v>3550</v>
      </c>
    </row>
    <row r="367" spans="1:13" x14ac:dyDescent="0.25">
      <c r="A367" t="s">
        <v>409</v>
      </c>
      <c r="B367" s="3">
        <v>46147</v>
      </c>
      <c r="C367" t="s">
        <v>39</v>
      </c>
      <c r="D367" t="s">
        <v>175</v>
      </c>
      <c r="E367" t="s">
        <v>133</v>
      </c>
      <c r="F367" t="s">
        <v>454</v>
      </c>
      <c r="H367" s="4">
        <v>4</v>
      </c>
      <c r="I367" s="4">
        <v>1377.12</v>
      </c>
      <c r="J367">
        <v>5508.48</v>
      </c>
      <c r="K367">
        <v>495.76319999999993</v>
      </c>
      <c r="L367">
        <v>495.76319999999993</v>
      </c>
      <c r="M367">
        <v>6500</v>
      </c>
    </row>
    <row r="368" spans="1:13" x14ac:dyDescent="0.25">
      <c r="A368" t="s">
        <v>409</v>
      </c>
      <c r="B368" s="3">
        <v>46147</v>
      </c>
      <c r="C368" t="s">
        <v>39</v>
      </c>
      <c r="D368" t="s">
        <v>187</v>
      </c>
      <c r="E368" t="s">
        <v>133</v>
      </c>
      <c r="F368" t="s">
        <v>454</v>
      </c>
      <c r="H368" s="4">
        <v>4</v>
      </c>
      <c r="I368" s="4">
        <v>1504.24</v>
      </c>
      <c r="J368">
        <v>6016.96</v>
      </c>
      <c r="K368">
        <v>541.52639999999997</v>
      </c>
      <c r="L368">
        <v>541.52639999999997</v>
      </c>
      <c r="M368">
        <v>7100</v>
      </c>
    </row>
    <row r="369" spans="1:13" x14ac:dyDescent="0.25">
      <c r="A369" t="s">
        <v>409</v>
      </c>
      <c r="B369" s="3">
        <v>46147</v>
      </c>
      <c r="C369" t="s">
        <v>39</v>
      </c>
      <c r="D369" t="s">
        <v>47</v>
      </c>
      <c r="E369" t="s">
        <v>452</v>
      </c>
      <c r="F369" t="s">
        <v>454</v>
      </c>
      <c r="G369" s="4">
        <v>94054900</v>
      </c>
      <c r="H369" s="4">
        <v>6</v>
      </c>
      <c r="I369" s="4">
        <v>253.39</v>
      </c>
      <c r="J369">
        <v>1520.34</v>
      </c>
      <c r="K369">
        <v>136.83059999999998</v>
      </c>
      <c r="L369">
        <v>136.83059999999998</v>
      </c>
      <c r="M369">
        <v>1794</v>
      </c>
    </row>
    <row r="370" spans="1:13" x14ac:dyDescent="0.25">
      <c r="A370" t="s">
        <v>408</v>
      </c>
      <c r="B370" s="3">
        <v>46143</v>
      </c>
      <c r="C370" t="s">
        <v>22</v>
      </c>
      <c r="D370" t="s">
        <v>26</v>
      </c>
      <c r="E370" t="s">
        <v>452</v>
      </c>
      <c r="F370" t="s">
        <v>454</v>
      </c>
      <c r="G370" s="4">
        <v>94054900</v>
      </c>
      <c r="H370">
        <v>20</v>
      </c>
      <c r="I370">
        <v>50.85</v>
      </c>
      <c r="J370">
        <v>1017</v>
      </c>
      <c r="K370">
        <v>91.53</v>
      </c>
      <c r="L370">
        <v>91.53</v>
      </c>
      <c r="M370">
        <v>1200.0999999999999</v>
      </c>
    </row>
    <row r="371" spans="1:13" x14ac:dyDescent="0.25">
      <c r="A371" t="s">
        <v>408</v>
      </c>
      <c r="B371" s="3">
        <v>46143</v>
      </c>
      <c r="C371" t="s">
        <v>22</v>
      </c>
      <c r="D371" t="s">
        <v>140</v>
      </c>
      <c r="E371" t="s">
        <v>452</v>
      </c>
      <c r="F371" t="s">
        <v>454</v>
      </c>
      <c r="G371" s="4">
        <v>94054900</v>
      </c>
      <c r="H371">
        <v>10</v>
      </c>
      <c r="I371">
        <v>122.88</v>
      </c>
      <c r="J371">
        <v>1228.8</v>
      </c>
      <c r="K371">
        <v>110.592</v>
      </c>
      <c r="L371">
        <v>110.592</v>
      </c>
      <c r="M371">
        <v>1450</v>
      </c>
    </row>
    <row r="372" spans="1:13" x14ac:dyDescent="0.25">
      <c r="A372" t="s">
        <v>407</v>
      </c>
      <c r="B372" s="3">
        <v>46143</v>
      </c>
      <c r="C372" t="s">
        <v>49</v>
      </c>
      <c r="D372" t="s">
        <v>47</v>
      </c>
      <c r="E372" t="s">
        <v>452</v>
      </c>
      <c r="F372" t="s">
        <v>454</v>
      </c>
      <c r="G372" s="4">
        <v>94054900</v>
      </c>
      <c r="H372" s="4">
        <v>10</v>
      </c>
      <c r="I372" s="4">
        <v>216.1</v>
      </c>
      <c r="J372">
        <v>2161</v>
      </c>
      <c r="K372">
        <v>194.48999999999998</v>
      </c>
      <c r="L372">
        <v>194.48999999999998</v>
      </c>
      <c r="M372">
        <v>2550</v>
      </c>
    </row>
    <row r="373" spans="1:13" x14ac:dyDescent="0.25">
      <c r="A373" t="s">
        <v>406</v>
      </c>
      <c r="B373" s="3">
        <v>46143</v>
      </c>
      <c r="C373" t="s">
        <v>65</v>
      </c>
      <c r="D373" t="s">
        <v>47</v>
      </c>
      <c r="E373" t="s">
        <v>452</v>
      </c>
      <c r="F373" t="s">
        <v>454</v>
      </c>
      <c r="G373" s="4">
        <v>94054900</v>
      </c>
      <c r="H373">
        <v>5</v>
      </c>
      <c r="I373">
        <v>216.1</v>
      </c>
      <c r="J373">
        <v>1080.5</v>
      </c>
      <c r="K373">
        <v>97.24499999999999</v>
      </c>
      <c r="L373">
        <v>97.24499999999999</v>
      </c>
      <c r="M373">
        <v>1275</v>
      </c>
    </row>
    <row r="374" spans="1:13" x14ac:dyDescent="0.25">
      <c r="A374" t="s">
        <v>406</v>
      </c>
      <c r="B374" s="3">
        <v>46143</v>
      </c>
      <c r="C374" t="s">
        <v>65</v>
      </c>
      <c r="D374" t="s">
        <v>13</v>
      </c>
      <c r="E374" t="s">
        <v>452</v>
      </c>
      <c r="F374" t="s">
        <v>454</v>
      </c>
      <c r="G374" s="4">
        <v>94054900</v>
      </c>
      <c r="H374">
        <v>20</v>
      </c>
      <c r="I374">
        <v>80.510000000000005</v>
      </c>
      <c r="J374">
        <v>1610.2</v>
      </c>
      <c r="K374">
        <v>144.91800000000001</v>
      </c>
      <c r="L374">
        <v>144.91800000000001</v>
      </c>
      <c r="M374">
        <v>1900</v>
      </c>
    </row>
    <row r="375" spans="1:13" x14ac:dyDescent="0.25">
      <c r="A375" t="s">
        <v>405</v>
      </c>
      <c r="B375" s="3">
        <v>46143</v>
      </c>
      <c r="C375" t="s">
        <v>114</v>
      </c>
      <c r="D375" t="s">
        <v>74</v>
      </c>
      <c r="E375" t="s">
        <v>452</v>
      </c>
      <c r="F375" t="s">
        <v>454</v>
      </c>
      <c r="G375" s="4">
        <v>94054900</v>
      </c>
      <c r="H375" s="4">
        <v>30</v>
      </c>
      <c r="I375" s="4">
        <v>120.34</v>
      </c>
      <c r="J375">
        <v>3610.2000000000003</v>
      </c>
      <c r="K375">
        <v>324.91800000000001</v>
      </c>
      <c r="L375">
        <v>324.91800000000001</v>
      </c>
      <c r="M375">
        <v>4260</v>
      </c>
    </row>
    <row r="376" spans="1:13" x14ac:dyDescent="0.25">
      <c r="A376" t="s">
        <v>404</v>
      </c>
      <c r="B376" s="3">
        <v>46143</v>
      </c>
      <c r="C376" t="s">
        <v>137</v>
      </c>
      <c r="D376" t="s">
        <v>35</v>
      </c>
      <c r="E376" t="s">
        <v>452</v>
      </c>
      <c r="F376" t="s">
        <v>454</v>
      </c>
      <c r="G376" s="4">
        <v>94054900</v>
      </c>
      <c r="H376" s="4">
        <v>400</v>
      </c>
      <c r="I376" s="4">
        <v>19.920000000000002</v>
      </c>
      <c r="J376">
        <v>7968.0000000000009</v>
      </c>
      <c r="K376">
        <v>717.12</v>
      </c>
      <c r="L376">
        <v>717.12</v>
      </c>
      <c r="M376">
        <v>9402.2000000000007</v>
      </c>
    </row>
    <row r="377" spans="1:13" x14ac:dyDescent="0.25">
      <c r="A377" t="s">
        <v>403</v>
      </c>
      <c r="B377" s="3">
        <v>46142</v>
      </c>
      <c r="C377" t="s">
        <v>25</v>
      </c>
      <c r="D377" t="s">
        <v>16</v>
      </c>
      <c r="E377" t="s">
        <v>452</v>
      </c>
      <c r="F377" t="s">
        <v>454</v>
      </c>
      <c r="G377" s="4">
        <v>94054900</v>
      </c>
      <c r="H377" s="4">
        <v>15</v>
      </c>
      <c r="I377" s="4">
        <v>186.44</v>
      </c>
      <c r="J377">
        <v>2796.6</v>
      </c>
      <c r="K377">
        <v>251.69399999999999</v>
      </c>
      <c r="L377">
        <v>251.69399999999999</v>
      </c>
      <c r="M377">
        <v>3300</v>
      </c>
    </row>
    <row r="378" spans="1:13" x14ac:dyDescent="0.25">
      <c r="A378" t="s">
        <v>403</v>
      </c>
      <c r="B378" s="3">
        <v>46142</v>
      </c>
      <c r="C378" t="s">
        <v>25</v>
      </c>
      <c r="D378" t="s">
        <v>164</v>
      </c>
      <c r="E378" t="s">
        <v>452</v>
      </c>
      <c r="F378" t="s">
        <v>454</v>
      </c>
      <c r="G378" s="4">
        <v>94054900</v>
      </c>
      <c r="H378" s="4">
        <v>3</v>
      </c>
      <c r="I378" s="4">
        <v>364.4</v>
      </c>
      <c r="J378">
        <v>1093.1999999999998</v>
      </c>
      <c r="K378">
        <v>98.387999999999977</v>
      </c>
      <c r="L378">
        <v>98.387999999999977</v>
      </c>
      <c r="M378">
        <v>1290</v>
      </c>
    </row>
    <row r="379" spans="1:13" x14ac:dyDescent="0.25">
      <c r="A379" t="s">
        <v>402</v>
      </c>
      <c r="B379" s="3">
        <v>46142</v>
      </c>
      <c r="C379" t="s">
        <v>45</v>
      </c>
      <c r="D379" t="s">
        <v>470</v>
      </c>
      <c r="E379" t="s">
        <v>452</v>
      </c>
      <c r="F379" t="s">
        <v>454</v>
      </c>
      <c r="G379" s="4">
        <v>94054900</v>
      </c>
      <c r="H379">
        <v>15</v>
      </c>
      <c r="I379">
        <v>186.44</v>
      </c>
      <c r="J379">
        <v>2796.6</v>
      </c>
      <c r="K379">
        <v>251.69399999999999</v>
      </c>
      <c r="L379">
        <v>251.69399999999999</v>
      </c>
      <c r="M379">
        <v>3300</v>
      </c>
    </row>
    <row r="380" spans="1:13" ht="30" x14ac:dyDescent="0.25">
      <c r="A380" t="s">
        <v>212</v>
      </c>
      <c r="B380" s="3">
        <v>46137</v>
      </c>
      <c r="C380" t="s">
        <v>84</v>
      </c>
      <c r="D380" s="5" t="s">
        <v>476</v>
      </c>
      <c r="E380" t="s">
        <v>133</v>
      </c>
      <c r="F380" t="s">
        <v>454</v>
      </c>
      <c r="G380" s="4">
        <v>94054090</v>
      </c>
      <c r="H380" s="4">
        <v>3</v>
      </c>
      <c r="I380" s="4">
        <v>67.790000000000006</v>
      </c>
      <c r="J380">
        <v>203.37</v>
      </c>
      <c r="K380">
        <v>18.3033</v>
      </c>
      <c r="L380">
        <v>18.3033</v>
      </c>
      <c r="M380">
        <v>240</v>
      </c>
    </row>
    <row r="381" spans="1:13" x14ac:dyDescent="0.25">
      <c r="A381" t="s">
        <v>212</v>
      </c>
      <c r="B381" s="3">
        <v>46137</v>
      </c>
      <c r="C381" t="s">
        <v>84</v>
      </c>
      <c r="D381" t="s">
        <v>213</v>
      </c>
      <c r="E381" t="s">
        <v>133</v>
      </c>
      <c r="F381" t="s">
        <v>454</v>
      </c>
      <c r="G381" s="4">
        <v>94054090</v>
      </c>
      <c r="H381" s="4">
        <v>8</v>
      </c>
      <c r="I381" s="4">
        <v>24.58</v>
      </c>
      <c r="J381">
        <v>196.64</v>
      </c>
      <c r="K381">
        <v>17.697599999999998</v>
      </c>
      <c r="L381">
        <v>17.697599999999998</v>
      </c>
      <c r="M381">
        <v>232</v>
      </c>
    </row>
    <row r="382" spans="1:13" ht="30" x14ac:dyDescent="0.25">
      <c r="A382" t="s">
        <v>212</v>
      </c>
      <c r="B382" s="3">
        <v>46137</v>
      </c>
      <c r="C382" t="s">
        <v>84</v>
      </c>
      <c r="D382" s="5" t="s">
        <v>480</v>
      </c>
      <c r="E382" t="s">
        <v>133</v>
      </c>
      <c r="F382" t="s">
        <v>454</v>
      </c>
      <c r="H382" s="4">
        <v>2</v>
      </c>
      <c r="I382" s="4">
        <v>1440.68</v>
      </c>
      <c r="J382">
        <v>2881.36</v>
      </c>
      <c r="K382">
        <v>259.32240000000002</v>
      </c>
      <c r="L382">
        <v>259.32240000000002</v>
      </c>
      <c r="M382">
        <v>3400</v>
      </c>
    </row>
    <row r="383" spans="1:13" ht="30" x14ac:dyDescent="0.25">
      <c r="A383" t="s">
        <v>212</v>
      </c>
      <c r="B383" s="3">
        <v>46137</v>
      </c>
      <c r="C383" t="s">
        <v>84</v>
      </c>
      <c r="D383" s="5" t="s">
        <v>479</v>
      </c>
      <c r="E383" t="s">
        <v>133</v>
      </c>
      <c r="F383" t="s">
        <v>454</v>
      </c>
      <c r="G383" s="4">
        <v>94054090</v>
      </c>
      <c r="H383" s="4">
        <v>4</v>
      </c>
      <c r="I383" s="4">
        <v>144.07</v>
      </c>
      <c r="J383">
        <v>576.28</v>
      </c>
      <c r="K383">
        <v>51.865199999999994</v>
      </c>
      <c r="L383">
        <v>51.865199999999994</v>
      </c>
      <c r="M383">
        <v>680</v>
      </c>
    </row>
    <row r="384" spans="1:13" ht="30" x14ac:dyDescent="0.25">
      <c r="A384" t="s">
        <v>212</v>
      </c>
      <c r="B384" s="3">
        <v>46137</v>
      </c>
      <c r="C384" t="s">
        <v>84</v>
      </c>
      <c r="D384" s="5" t="s">
        <v>478</v>
      </c>
      <c r="E384" t="s">
        <v>133</v>
      </c>
      <c r="F384" t="s">
        <v>454</v>
      </c>
      <c r="G384" s="4">
        <v>94054090</v>
      </c>
      <c r="H384" s="4">
        <v>2</v>
      </c>
      <c r="I384" s="4">
        <v>93.22</v>
      </c>
      <c r="J384">
        <v>186.44</v>
      </c>
      <c r="K384">
        <v>16.779599999999999</v>
      </c>
      <c r="L384">
        <v>16.779599999999999</v>
      </c>
      <c r="M384">
        <v>220</v>
      </c>
    </row>
    <row r="385" spans="1:13" ht="30" x14ac:dyDescent="0.25">
      <c r="A385" t="s">
        <v>212</v>
      </c>
      <c r="B385" s="3">
        <v>46137</v>
      </c>
      <c r="C385" t="s">
        <v>84</v>
      </c>
      <c r="D385" s="5" t="s">
        <v>477</v>
      </c>
      <c r="E385" t="s">
        <v>133</v>
      </c>
      <c r="F385" t="s">
        <v>454</v>
      </c>
      <c r="G385" s="4">
        <v>94054090</v>
      </c>
      <c r="H385" s="4">
        <v>6</v>
      </c>
      <c r="I385" s="4">
        <v>84.75</v>
      </c>
      <c r="J385">
        <v>508.5</v>
      </c>
      <c r="K385">
        <v>45.765000000000001</v>
      </c>
      <c r="L385">
        <v>45.765000000000001</v>
      </c>
      <c r="M385">
        <v>600</v>
      </c>
    </row>
    <row r="386" spans="1:13" ht="30" x14ac:dyDescent="0.25">
      <c r="A386" t="s">
        <v>212</v>
      </c>
      <c r="B386" s="3">
        <v>46137</v>
      </c>
      <c r="C386" t="s">
        <v>84</v>
      </c>
      <c r="D386" s="5" t="s">
        <v>476</v>
      </c>
      <c r="E386" t="s">
        <v>133</v>
      </c>
      <c r="F386" t="s">
        <v>454</v>
      </c>
      <c r="G386" s="4">
        <v>94054090</v>
      </c>
      <c r="H386" s="4">
        <v>3</v>
      </c>
      <c r="I386" s="4">
        <v>28.25</v>
      </c>
      <c r="J386">
        <v>84.75</v>
      </c>
      <c r="K386">
        <v>7.6274999999999995</v>
      </c>
      <c r="L386">
        <v>7.6274999999999995</v>
      </c>
      <c r="M386">
        <v>100</v>
      </c>
    </row>
    <row r="387" spans="1:13" ht="30" x14ac:dyDescent="0.25">
      <c r="A387" t="s">
        <v>212</v>
      </c>
      <c r="B387" s="3">
        <v>46137</v>
      </c>
      <c r="C387" t="s">
        <v>84</v>
      </c>
      <c r="D387" s="5" t="s">
        <v>475</v>
      </c>
      <c r="E387" t="s">
        <v>133</v>
      </c>
      <c r="F387" t="s">
        <v>454</v>
      </c>
      <c r="G387" s="4">
        <v>94054090</v>
      </c>
      <c r="H387" s="4">
        <v>1</v>
      </c>
      <c r="I387" s="4">
        <v>84.75</v>
      </c>
      <c r="J387">
        <v>84.75</v>
      </c>
      <c r="K387">
        <v>7.6274999999999995</v>
      </c>
      <c r="L387">
        <v>7.6274999999999995</v>
      </c>
      <c r="M387">
        <v>100</v>
      </c>
    </row>
    <row r="388" spans="1:13" ht="30" x14ac:dyDescent="0.25">
      <c r="A388" t="s">
        <v>212</v>
      </c>
      <c r="B388" s="3">
        <v>46137</v>
      </c>
      <c r="C388" t="s">
        <v>84</v>
      </c>
      <c r="D388" s="5" t="s">
        <v>474</v>
      </c>
      <c r="E388" t="s">
        <v>133</v>
      </c>
      <c r="F388" t="s">
        <v>454</v>
      </c>
      <c r="G388" s="4">
        <v>94054090</v>
      </c>
      <c r="H388" s="4">
        <v>1</v>
      </c>
      <c r="I388" s="4">
        <v>84.75</v>
      </c>
      <c r="J388">
        <v>84.75</v>
      </c>
      <c r="K388">
        <v>7.6274999999999995</v>
      </c>
      <c r="L388">
        <v>7.6274999999999995</v>
      </c>
      <c r="M388">
        <v>100</v>
      </c>
    </row>
    <row r="389" spans="1:13" ht="30" x14ac:dyDescent="0.25">
      <c r="A389" t="s">
        <v>212</v>
      </c>
      <c r="B389" s="3">
        <v>46137</v>
      </c>
      <c r="C389" t="s">
        <v>84</v>
      </c>
      <c r="D389" s="5" t="s">
        <v>473</v>
      </c>
      <c r="E389" t="s">
        <v>133</v>
      </c>
      <c r="F389" t="s">
        <v>454</v>
      </c>
      <c r="G389" s="4">
        <v>94054090</v>
      </c>
      <c r="H389" s="4">
        <v>1</v>
      </c>
      <c r="I389" s="4">
        <v>84.75</v>
      </c>
      <c r="J389">
        <v>84.75</v>
      </c>
      <c r="K389">
        <v>7.6274999999999995</v>
      </c>
      <c r="L389">
        <v>7.6274999999999995</v>
      </c>
      <c r="M389">
        <v>100</v>
      </c>
    </row>
    <row r="390" spans="1:13" ht="30" x14ac:dyDescent="0.25">
      <c r="A390" t="s">
        <v>212</v>
      </c>
      <c r="B390" s="3">
        <v>46137</v>
      </c>
      <c r="C390" t="s">
        <v>84</v>
      </c>
      <c r="D390" s="5" t="s">
        <v>472</v>
      </c>
      <c r="E390" t="s">
        <v>133</v>
      </c>
      <c r="F390" t="s">
        <v>454</v>
      </c>
      <c r="G390" s="4">
        <v>94054090</v>
      </c>
      <c r="H390" s="4">
        <v>1</v>
      </c>
      <c r="I390" s="4">
        <v>207.63</v>
      </c>
      <c r="J390">
        <v>207.63</v>
      </c>
      <c r="K390">
        <v>18.686699999999998</v>
      </c>
      <c r="L390">
        <v>18.686699999999998</v>
      </c>
      <c r="M390">
        <v>245</v>
      </c>
    </row>
    <row r="391" spans="1:13" x14ac:dyDescent="0.25">
      <c r="A391" t="s">
        <v>212</v>
      </c>
      <c r="B391" s="3">
        <v>46137</v>
      </c>
      <c r="C391" t="s">
        <v>84</v>
      </c>
      <c r="D391" t="s">
        <v>183</v>
      </c>
      <c r="E391" t="s">
        <v>133</v>
      </c>
      <c r="F391" t="s">
        <v>454</v>
      </c>
      <c r="G391" s="4">
        <v>94054090</v>
      </c>
      <c r="H391" s="4">
        <v>5</v>
      </c>
      <c r="I391" s="4">
        <v>165.25</v>
      </c>
      <c r="J391">
        <v>826.25</v>
      </c>
      <c r="K391">
        <v>74.362499999999997</v>
      </c>
      <c r="L391">
        <v>74.362499999999997</v>
      </c>
      <c r="M391">
        <v>975</v>
      </c>
    </row>
    <row r="392" spans="1:13" x14ac:dyDescent="0.25">
      <c r="A392" t="s">
        <v>212</v>
      </c>
      <c r="B392" s="3">
        <v>46137</v>
      </c>
      <c r="C392" t="s">
        <v>84</v>
      </c>
      <c r="D392" t="s">
        <v>299</v>
      </c>
      <c r="E392" t="s">
        <v>133</v>
      </c>
      <c r="F392" t="s">
        <v>454</v>
      </c>
      <c r="G392" s="4">
        <v>94054090</v>
      </c>
      <c r="H392" s="4">
        <v>1</v>
      </c>
      <c r="I392" s="4">
        <v>84.75</v>
      </c>
      <c r="J392">
        <v>84.75</v>
      </c>
      <c r="K392">
        <v>7.6274999999999995</v>
      </c>
      <c r="L392">
        <v>7.6274999999999995</v>
      </c>
      <c r="M392">
        <v>100</v>
      </c>
    </row>
    <row r="393" spans="1:13" x14ac:dyDescent="0.25">
      <c r="A393" t="s">
        <v>212</v>
      </c>
      <c r="B393" s="3">
        <v>46137</v>
      </c>
      <c r="C393" t="s">
        <v>84</v>
      </c>
      <c r="D393" t="s">
        <v>35</v>
      </c>
      <c r="E393" t="s">
        <v>452</v>
      </c>
      <c r="F393" t="s">
        <v>454</v>
      </c>
      <c r="G393" s="4">
        <v>94054900</v>
      </c>
      <c r="H393" s="4">
        <v>50</v>
      </c>
      <c r="I393" s="4">
        <v>22.03</v>
      </c>
      <c r="J393">
        <v>1101.5</v>
      </c>
      <c r="K393">
        <v>99.134999999999991</v>
      </c>
      <c r="L393">
        <v>99.134999999999991</v>
      </c>
      <c r="M393">
        <v>1299.8</v>
      </c>
    </row>
    <row r="394" spans="1:13" x14ac:dyDescent="0.25">
      <c r="A394" t="s">
        <v>212</v>
      </c>
      <c r="B394" s="3">
        <v>46137</v>
      </c>
      <c r="C394" t="s">
        <v>84</v>
      </c>
      <c r="D394" t="s">
        <v>26</v>
      </c>
      <c r="E394" t="s">
        <v>452</v>
      </c>
      <c r="F394" t="s">
        <v>454</v>
      </c>
      <c r="G394" s="4">
        <v>94054900</v>
      </c>
      <c r="H394" s="4">
        <v>10</v>
      </c>
      <c r="I394" s="4">
        <v>42.37</v>
      </c>
      <c r="J394">
        <v>423.7</v>
      </c>
      <c r="K394">
        <v>38.132999999999996</v>
      </c>
      <c r="L394">
        <v>38.132999999999996</v>
      </c>
      <c r="M394">
        <v>500</v>
      </c>
    </row>
    <row r="395" spans="1:13" x14ac:dyDescent="0.25">
      <c r="A395" t="s">
        <v>212</v>
      </c>
      <c r="B395" s="3">
        <v>46137</v>
      </c>
      <c r="C395" t="s">
        <v>84</v>
      </c>
      <c r="D395" t="s">
        <v>271</v>
      </c>
      <c r="E395" t="s">
        <v>452</v>
      </c>
      <c r="F395" t="s">
        <v>453</v>
      </c>
      <c r="G395" s="4">
        <v>84145120</v>
      </c>
      <c r="H395" s="4">
        <v>1</v>
      </c>
      <c r="I395" s="4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t="s">
        <v>212</v>
      </c>
      <c r="B396" s="3">
        <v>46137</v>
      </c>
      <c r="C396" t="s">
        <v>84</v>
      </c>
      <c r="D396" t="s">
        <v>214</v>
      </c>
      <c r="E396" t="s">
        <v>133</v>
      </c>
      <c r="F396" t="s">
        <v>454</v>
      </c>
      <c r="G396" s="4">
        <v>94054090</v>
      </c>
      <c r="H396" s="4">
        <v>3</v>
      </c>
      <c r="I396" s="4">
        <v>207.62</v>
      </c>
      <c r="J396">
        <v>622.86</v>
      </c>
      <c r="K396">
        <v>56.057400000000001</v>
      </c>
      <c r="L396">
        <v>56.057400000000001</v>
      </c>
      <c r="M396">
        <v>735</v>
      </c>
    </row>
    <row r="397" spans="1:13" x14ac:dyDescent="0.25">
      <c r="A397" t="s">
        <v>212</v>
      </c>
      <c r="B397" s="3">
        <v>46137</v>
      </c>
      <c r="C397" t="s">
        <v>84</v>
      </c>
      <c r="D397" t="s">
        <v>471</v>
      </c>
      <c r="E397" t="s">
        <v>133</v>
      </c>
      <c r="F397" t="s">
        <v>454</v>
      </c>
      <c r="G397" s="4">
        <v>94054090</v>
      </c>
      <c r="H397" s="4">
        <v>5</v>
      </c>
      <c r="I397" s="4">
        <v>127.12</v>
      </c>
      <c r="J397">
        <v>635.6</v>
      </c>
      <c r="K397">
        <v>57.204000000000001</v>
      </c>
      <c r="L397">
        <v>57.204000000000001</v>
      </c>
      <c r="M397">
        <v>750</v>
      </c>
    </row>
    <row r="398" spans="1:13" x14ac:dyDescent="0.25">
      <c r="A398" t="s">
        <v>212</v>
      </c>
      <c r="B398" s="3">
        <v>46137</v>
      </c>
      <c r="C398" t="s">
        <v>84</v>
      </c>
      <c r="D398" t="s">
        <v>215</v>
      </c>
      <c r="E398" t="s">
        <v>133</v>
      </c>
      <c r="F398" t="s">
        <v>454</v>
      </c>
      <c r="G398" s="4">
        <v>94054090</v>
      </c>
      <c r="H398" s="4">
        <v>4</v>
      </c>
      <c r="I398" s="4">
        <v>24.58</v>
      </c>
      <c r="J398">
        <v>98.32</v>
      </c>
      <c r="K398">
        <v>8.8487999999999989</v>
      </c>
      <c r="L398">
        <v>8.8487999999999989</v>
      </c>
      <c r="M398">
        <v>116</v>
      </c>
    </row>
    <row r="399" spans="1:13" x14ac:dyDescent="0.25">
      <c r="A399" t="s">
        <v>210</v>
      </c>
      <c r="B399" s="3">
        <v>46130</v>
      </c>
      <c r="C399" t="s">
        <v>211</v>
      </c>
      <c r="D399" t="s">
        <v>178</v>
      </c>
      <c r="E399" t="s">
        <v>133</v>
      </c>
      <c r="F399" t="s">
        <v>454</v>
      </c>
      <c r="H399">
        <v>80</v>
      </c>
      <c r="I399">
        <v>88.98</v>
      </c>
      <c r="J399">
        <v>7118.4000000000005</v>
      </c>
      <c r="K399">
        <v>640.65600000000006</v>
      </c>
      <c r="L399">
        <v>640.65600000000006</v>
      </c>
      <c r="M399">
        <v>8399.7000000000007</v>
      </c>
    </row>
    <row r="400" spans="1:13" x14ac:dyDescent="0.25">
      <c r="A400" t="s">
        <v>198</v>
      </c>
      <c r="B400" s="3">
        <v>46130</v>
      </c>
      <c r="C400" t="s">
        <v>112</v>
      </c>
      <c r="D400" t="s">
        <v>199</v>
      </c>
      <c r="E400" t="s">
        <v>133</v>
      </c>
      <c r="F400" t="s">
        <v>454</v>
      </c>
      <c r="G400" s="4">
        <v>94054090</v>
      </c>
      <c r="H400">
        <v>20</v>
      </c>
      <c r="I400">
        <v>271.18</v>
      </c>
      <c r="J400">
        <v>5423.6</v>
      </c>
      <c r="K400">
        <v>488.12400000000002</v>
      </c>
      <c r="L400">
        <v>488.12400000000002</v>
      </c>
      <c r="M400">
        <v>6399.8</v>
      </c>
    </row>
    <row r="401" spans="1:13" x14ac:dyDescent="0.25">
      <c r="A401" t="s">
        <v>198</v>
      </c>
      <c r="B401" s="3">
        <v>46130</v>
      </c>
      <c r="C401" t="s">
        <v>112</v>
      </c>
      <c r="D401" t="s">
        <v>200</v>
      </c>
      <c r="E401" t="s">
        <v>133</v>
      </c>
      <c r="F401" t="s">
        <v>454</v>
      </c>
      <c r="G401" s="4">
        <v>94054090</v>
      </c>
      <c r="H401">
        <v>60</v>
      </c>
      <c r="I401">
        <v>17.79</v>
      </c>
      <c r="J401">
        <v>1067.3999999999999</v>
      </c>
      <c r="K401">
        <v>96.065999999999988</v>
      </c>
      <c r="L401">
        <v>96.065999999999988</v>
      </c>
      <c r="M401">
        <v>1259.5</v>
      </c>
    </row>
    <row r="402" spans="1:13" x14ac:dyDescent="0.25">
      <c r="A402" t="s">
        <v>198</v>
      </c>
      <c r="B402" s="3">
        <v>46130</v>
      </c>
      <c r="C402" t="s">
        <v>112</v>
      </c>
      <c r="D402" t="s">
        <v>201</v>
      </c>
      <c r="E402" t="s">
        <v>133</v>
      </c>
      <c r="F402" t="s">
        <v>454</v>
      </c>
      <c r="G402" s="4">
        <v>94054090</v>
      </c>
      <c r="H402">
        <v>120</v>
      </c>
      <c r="I402">
        <v>17.79</v>
      </c>
      <c r="J402">
        <v>2134.7999999999997</v>
      </c>
      <c r="K402">
        <v>192.13199999999998</v>
      </c>
      <c r="L402">
        <v>192.13199999999998</v>
      </c>
      <c r="M402">
        <v>2519.1</v>
      </c>
    </row>
    <row r="403" spans="1:13" x14ac:dyDescent="0.25">
      <c r="A403" t="s">
        <v>198</v>
      </c>
      <c r="B403" s="3">
        <v>46130</v>
      </c>
      <c r="C403" t="s">
        <v>112</v>
      </c>
      <c r="D403" t="s">
        <v>202</v>
      </c>
      <c r="E403" t="s">
        <v>133</v>
      </c>
      <c r="F403" t="s">
        <v>454</v>
      </c>
      <c r="G403" s="4">
        <v>94054090</v>
      </c>
      <c r="H403">
        <v>30</v>
      </c>
      <c r="I403">
        <v>105.93</v>
      </c>
      <c r="J403">
        <v>3177.9</v>
      </c>
      <c r="K403">
        <v>286.01100000000002</v>
      </c>
      <c r="L403">
        <v>286.01100000000002</v>
      </c>
      <c r="M403">
        <v>3749.9</v>
      </c>
    </row>
    <row r="404" spans="1:13" x14ac:dyDescent="0.25">
      <c r="A404" t="s">
        <v>198</v>
      </c>
      <c r="B404" s="3">
        <v>46130</v>
      </c>
      <c r="C404" t="s">
        <v>112</v>
      </c>
      <c r="D404" t="s">
        <v>203</v>
      </c>
      <c r="E404" t="s">
        <v>133</v>
      </c>
      <c r="F404" t="s">
        <v>454</v>
      </c>
      <c r="G404" s="4">
        <v>94054090</v>
      </c>
      <c r="H404">
        <v>30</v>
      </c>
      <c r="I404">
        <v>105.93</v>
      </c>
      <c r="J404">
        <v>3177.9</v>
      </c>
      <c r="K404">
        <v>286.01100000000002</v>
      </c>
      <c r="L404">
        <v>286.01100000000002</v>
      </c>
      <c r="M404">
        <v>3749.9</v>
      </c>
    </row>
    <row r="405" spans="1:13" x14ac:dyDescent="0.25">
      <c r="A405" t="s">
        <v>198</v>
      </c>
      <c r="B405" s="3">
        <v>46130</v>
      </c>
      <c r="C405" t="s">
        <v>112</v>
      </c>
      <c r="D405" t="s">
        <v>54</v>
      </c>
      <c r="E405" t="s">
        <v>452</v>
      </c>
      <c r="F405" t="s">
        <v>454</v>
      </c>
      <c r="G405" s="4">
        <v>94054900</v>
      </c>
      <c r="H405">
        <v>50</v>
      </c>
      <c r="I405">
        <v>122.88</v>
      </c>
      <c r="J405">
        <v>6144</v>
      </c>
      <c r="K405">
        <v>552.96</v>
      </c>
      <c r="L405">
        <v>552.96</v>
      </c>
      <c r="M405">
        <v>7249.9</v>
      </c>
    </row>
    <row r="406" spans="1:13" x14ac:dyDescent="0.25">
      <c r="A406" t="s">
        <v>198</v>
      </c>
      <c r="B406" s="3">
        <v>46130</v>
      </c>
      <c r="C406" t="s">
        <v>112</v>
      </c>
      <c r="D406" t="s">
        <v>204</v>
      </c>
      <c r="E406" t="s">
        <v>452</v>
      </c>
      <c r="F406" t="s">
        <v>453</v>
      </c>
      <c r="G406" s="4">
        <v>84145120</v>
      </c>
      <c r="H406">
        <v>1</v>
      </c>
      <c r="I406">
        <v>1949.15</v>
      </c>
      <c r="J406">
        <v>1949.15</v>
      </c>
      <c r="K406">
        <v>175.42349999999999</v>
      </c>
      <c r="L406">
        <v>175.42349999999999</v>
      </c>
      <c r="M406">
        <v>2300</v>
      </c>
    </row>
    <row r="407" spans="1:13" x14ac:dyDescent="0.25">
      <c r="A407" t="s">
        <v>198</v>
      </c>
      <c r="B407" s="3">
        <v>46130</v>
      </c>
      <c r="C407" t="s">
        <v>112</v>
      </c>
      <c r="D407" t="s">
        <v>205</v>
      </c>
      <c r="E407" t="s">
        <v>452</v>
      </c>
      <c r="F407" t="s">
        <v>453</v>
      </c>
      <c r="G407" s="4">
        <v>84145120</v>
      </c>
      <c r="H407">
        <v>2</v>
      </c>
      <c r="I407">
        <v>1949.15</v>
      </c>
      <c r="J407">
        <v>3898.3</v>
      </c>
      <c r="K407">
        <v>350.84699999999998</v>
      </c>
      <c r="L407">
        <v>350.84699999999998</v>
      </c>
      <c r="M407">
        <v>4600</v>
      </c>
    </row>
    <row r="408" spans="1:13" x14ac:dyDescent="0.25">
      <c r="A408" t="s">
        <v>198</v>
      </c>
      <c r="B408" s="3">
        <v>46130</v>
      </c>
      <c r="C408" t="s">
        <v>112</v>
      </c>
      <c r="D408" t="s">
        <v>206</v>
      </c>
      <c r="E408" t="s">
        <v>452</v>
      </c>
      <c r="F408" t="s">
        <v>453</v>
      </c>
      <c r="G408" s="4">
        <v>84145120</v>
      </c>
      <c r="H408">
        <v>1</v>
      </c>
      <c r="I408">
        <v>2826.27</v>
      </c>
      <c r="J408">
        <v>2826.27</v>
      </c>
      <c r="K408">
        <v>254.36429999999999</v>
      </c>
      <c r="L408">
        <v>254.36429999999999</v>
      </c>
      <c r="M408">
        <v>3335</v>
      </c>
    </row>
    <row r="409" spans="1:13" x14ac:dyDescent="0.25">
      <c r="A409" t="s">
        <v>198</v>
      </c>
      <c r="B409" s="3">
        <v>46130</v>
      </c>
      <c r="C409" t="s">
        <v>112</v>
      </c>
      <c r="D409" t="s">
        <v>207</v>
      </c>
      <c r="E409" t="s">
        <v>208</v>
      </c>
      <c r="F409" t="s">
        <v>453</v>
      </c>
      <c r="G409" s="4">
        <v>84145120</v>
      </c>
      <c r="H409">
        <v>4</v>
      </c>
      <c r="I409">
        <v>1355.93</v>
      </c>
      <c r="J409">
        <v>5423.72</v>
      </c>
      <c r="K409">
        <v>488.13479999999998</v>
      </c>
      <c r="L409">
        <v>488.13479999999998</v>
      </c>
      <c r="M409">
        <v>6400</v>
      </c>
    </row>
    <row r="410" spans="1:13" x14ac:dyDescent="0.25">
      <c r="A410" t="s">
        <v>198</v>
      </c>
      <c r="B410" s="3">
        <v>46130</v>
      </c>
      <c r="C410" t="s">
        <v>112</v>
      </c>
      <c r="D410" t="s">
        <v>209</v>
      </c>
      <c r="E410" t="s">
        <v>133</v>
      </c>
      <c r="F410" t="s">
        <v>454</v>
      </c>
      <c r="G410" s="4">
        <v>94054090</v>
      </c>
      <c r="H410">
        <v>5</v>
      </c>
      <c r="I410">
        <v>720.34</v>
      </c>
      <c r="J410">
        <v>3601.7000000000003</v>
      </c>
      <c r="K410">
        <v>324.15300000000002</v>
      </c>
      <c r="L410">
        <v>324.15300000000002</v>
      </c>
      <c r="M410">
        <v>4250</v>
      </c>
    </row>
    <row r="411" spans="1:13" x14ac:dyDescent="0.25">
      <c r="A411" t="s">
        <v>198</v>
      </c>
      <c r="B411" s="3">
        <v>46130</v>
      </c>
      <c r="C411" t="s">
        <v>112</v>
      </c>
      <c r="D411" t="s">
        <v>47</v>
      </c>
      <c r="E411" t="s">
        <v>452</v>
      </c>
      <c r="F411" t="s">
        <v>454</v>
      </c>
      <c r="G411" s="4">
        <v>94054900</v>
      </c>
      <c r="H411">
        <v>24</v>
      </c>
      <c r="I411">
        <v>131.36000000000001</v>
      </c>
      <c r="J411">
        <v>3152.6400000000003</v>
      </c>
      <c r="K411">
        <v>283.73760000000004</v>
      </c>
      <c r="L411">
        <v>283.73760000000004</v>
      </c>
      <c r="M411">
        <v>3720.1</v>
      </c>
    </row>
    <row r="412" spans="1:13" x14ac:dyDescent="0.25">
      <c r="A412" t="s">
        <v>198</v>
      </c>
      <c r="B412" s="3">
        <v>46130</v>
      </c>
      <c r="C412" t="s">
        <v>112</v>
      </c>
      <c r="D412" t="s">
        <v>64</v>
      </c>
      <c r="E412" t="s">
        <v>452</v>
      </c>
      <c r="F412" t="s">
        <v>454</v>
      </c>
      <c r="G412" s="4">
        <v>94054900</v>
      </c>
      <c r="H412">
        <v>20</v>
      </c>
      <c r="I412">
        <v>165.25</v>
      </c>
      <c r="J412">
        <v>3305</v>
      </c>
      <c r="K412">
        <v>297.45</v>
      </c>
      <c r="L412">
        <v>297.45</v>
      </c>
      <c r="M412">
        <v>3899.9</v>
      </c>
    </row>
    <row r="413" spans="1:13" x14ac:dyDescent="0.25">
      <c r="A413" t="s">
        <v>196</v>
      </c>
      <c r="B413" s="3">
        <v>46129</v>
      </c>
      <c r="C413" t="s">
        <v>197</v>
      </c>
      <c r="D413" t="s">
        <v>91</v>
      </c>
      <c r="E413" t="s">
        <v>452</v>
      </c>
      <c r="F413" t="s">
        <v>453</v>
      </c>
      <c r="G413" s="4">
        <v>84145120</v>
      </c>
      <c r="H413" s="4">
        <v>1</v>
      </c>
      <c r="I413" s="4">
        <v>2741.53</v>
      </c>
      <c r="J413">
        <v>2741.53</v>
      </c>
      <c r="K413">
        <v>246.73770000000002</v>
      </c>
      <c r="L413">
        <v>246.73770000000002</v>
      </c>
      <c r="M413">
        <v>3235</v>
      </c>
    </row>
    <row r="414" spans="1:13" x14ac:dyDescent="0.25">
      <c r="A414" t="s">
        <v>194</v>
      </c>
      <c r="B414" s="3">
        <v>46129</v>
      </c>
      <c r="C414" t="s">
        <v>195</v>
      </c>
      <c r="D414" t="s">
        <v>175</v>
      </c>
      <c r="E414" t="s">
        <v>133</v>
      </c>
      <c r="F414" t="s">
        <v>454</v>
      </c>
      <c r="H414">
        <v>1</v>
      </c>
      <c r="I414">
        <v>1355.93</v>
      </c>
      <c r="J414">
        <v>1355.93</v>
      </c>
      <c r="K414">
        <v>122.0337</v>
      </c>
      <c r="L414">
        <v>122.0337</v>
      </c>
      <c r="M414">
        <v>1600</v>
      </c>
    </row>
    <row r="415" spans="1:13" x14ac:dyDescent="0.25">
      <c r="A415" t="s">
        <v>194</v>
      </c>
      <c r="B415" s="3">
        <v>46129</v>
      </c>
      <c r="C415" t="s">
        <v>195</v>
      </c>
      <c r="D415" t="s">
        <v>187</v>
      </c>
      <c r="E415" t="s">
        <v>133</v>
      </c>
      <c r="F415" t="s">
        <v>454</v>
      </c>
      <c r="H415">
        <v>1</v>
      </c>
      <c r="I415">
        <v>1525.4</v>
      </c>
      <c r="J415">
        <v>1525.4</v>
      </c>
      <c r="K415">
        <v>137.286</v>
      </c>
      <c r="L415">
        <v>137.286</v>
      </c>
      <c r="M415">
        <v>1800</v>
      </c>
    </row>
    <row r="416" spans="1:13" x14ac:dyDescent="0.25">
      <c r="A416" t="s">
        <v>194</v>
      </c>
      <c r="B416" s="3">
        <v>46129</v>
      </c>
      <c r="C416" t="s">
        <v>195</v>
      </c>
      <c r="D416" t="s">
        <v>81</v>
      </c>
      <c r="E416" t="s">
        <v>452</v>
      </c>
      <c r="F416" t="s">
        <v>453</v>
      </c>
      <c r="G416" s="4">
        <v>84145120</v>
      </c>
      <c r="H416">
        <v>1</v>
      </c>
      <c r="I416">
        <v>1906.7</v>
      </c>
      <c r="J416">
        <v>1906.7</v>
      </c>
      <c r="K416">
        <v>171.60300000000001</v>
      </c>
      <c r="L416">
        <v>171.60300000000001</v>
      </c>
      <c r="M416">
        <v>2249.9</v>
      </c>
    </row>
    <row r="417" spans="1:13" x14ac:dyDescent="0.25">
      <c r="A417" t="s">
        <v>192</v>
      </c>
      <c r="B417" s="3">
        <v>46128</v>
      </c>
      <c r="C417" t="s">
        <v>108</v>
      </c>
      <c r="D417" t="s">
        <v>193</v>
      </c>
      <c r="E417" t="s">
        <v>133</v>
      </c>
      <c r="F417" t="s">
        <v>454</v>
      </c>
      <c r="H417" s="4">
        <v>20</v>
      </c>
      <c r="I417" s="4">
        <v>110.17</v>
      </c>
      <c r="J417">
        <v>2203.4</v>
      </c>
      <c r="K417">
        <v>198.30600000000001</v>
      </c>
      <c r="L417">
        <v>198.30600000000001</v>
      </c>
      <c r="M417">
        <v>2600</v>
      </c>
    </row>
    <row r="418" spans="1:13" x14ac:dyDescent="0.25">
      <c r="A418" t="s">
        <v>192</v>
      </c>
      <c r="B418" s="3">
        <v>46128</v>
      </c>
      <c r="C418" t="s">
        <v>108</v>
      </c>
      <c r="D418" t="s">
        <v>33</v>
      </c>
      <c r="E418" t="s">
        <v>452</v>
      </c>
      <c r="F418" t="s">
        <v>453</v>
      </c>
      <c r="G418" s="4">
        <v>84145120</v>
      </c>
      <c r="H418" s="4">
        <v>2</v>
      </c>
      <c r="I418" s="4">
        <v>1906.77</v>
      </c>
      <c r="J418">
        <v>3813.54</v>
      </c>
      <c r="K418">
        <v>343.21859999999998</v>
      </c>
      <c r="L418">
        <v>343.21859999999998</v>
      </c>
      <c r="M418">
        <v>4500</v>
      </c>
    </row>
    <row r="419" spans="1:13" x14ac:dyDescent="0.25">
      <c r="A419" t="s">
        <v>401</v>
      </c>
      <c r="B419" s="3">
        <v>46127</v>
      </c>
      <c r="C419" t="s">
        <v>22</v>
      </c>
      <c r="D419" t="s">
        <v>171</v>
      </c>
      <c r="E419" t="s">
        <v>133</v>
      </c>
      <c r="F419" t="s">
        <v>454</v>
      </c>
      <c r="H419" s="4">
        <v>20</v>
      </c>
      <c r="I419" s="4">
        <v>271.19</v>
      </c>
      <c r="J419">
        <v>5423.8</v>
      </c>
      <c r="K419">
        <v>488.142</v>
      </c>
      <c r="L419">
        <v>488.142</v>
      </c>
      <c r="M419">
        <v>6400.1</v>
      </c>
    </row>
    <row r="420" spans="1:13" x14ac:dyDescent="0.25">
      <c r="A420" t="s">
        <v>401</v>
      </c>
      <c r="B420" s="3">
        <v>46127</v>
      </c>
      <c r="C420" t="s">
        <v>22</v>
      </c>
      <c r="D420" t="s">
        <v>140</v>
      </c>
      <c r="E420" t="s">
        <v>452</v>
      </c>
      <c r="F420" t="s">
        <v>454</v>
      </c>
      <c r="G420" s="4">
        <v>94054900</v>
      </c>
      <c r="H420" s="4">
        <v>15</v>
      </c>
      <c r="I420" s="4">
        <v>114.41</v>
      </c>
      <c r="J420">
        <v>1716.1499999999999</v>
      </c>
      <c r="K420">
        <v>154.45349999999999</v>
      </c>
      <c r="L420">
        <v>154.45349999999999</v>
      </c>
      <c r="M420">
        <v>2025.1</v>
      </c>
    </row>
    <row r="421" spans="1:13" x14ac:dyDescent="0.25">
      <c r="A421" t="s">
        <v>401</v>
      </c>
      <c r="B421" s="3">
        <v>46127</v>
      </c>
      <c r="C421" t="s">
        <v>22</v>
      </c>
      <c r="D421" t="s">
        <v>14</v>
      </c>
      <c r="E421" t="s">
        <v>452</v>
      </c>
      <c r="F421" t="s">
        <v>454</v>
      </c>
      <c r="G421" s="4">
        <v>94054900</v>
      </c>
      <c r="H421" s="4">
        <v>10</v>
      </c>
      <c r="I421" s="4">
        <v>66.099999999999994</v>
      </c>
      <c r="J421">
        <v>661</v>
      </c>
      <c r="K421">
        <v>59.489999999999995</v>
      </c>
      <c r="L421">
        <v>59.489999999999995</v>
      </c>
      <c r="M421">
        <v>780</v>
      </c>
    </row>
    <row r="422" spans="1:13" x14ac:dyDescent="0.25">
      <c r="A422" t="s">
        <v>189</v>
      </c>
      <c r="B422" s="3">
        <v>46125</v>
      </c>
      <c r="C422" t="s">
        <v>190</v>
      </c>
      <c r="D422" t="s">
        <v>191</v>
      </c>
      <c r="E422" t="s">
        <v>133</v>
      </c>
      <c r="F422" t="s">
        <v>454</v>
      </c>
      <c r="H422">
        <v>20</v>
      </c>
      <c r="I422">
        <v>216.1</v>
      </c>
      <c r="J422">
        <v>4322</v>
      </c>
      <c r="K422">
        <v>388.97999999999996</v>
      </c>
      <c r="L422">
        <v>388.97999999999996</v>
      </c>
      <c r="M422">
        <v>5100</v>
      </c>
    </row>
    <row r="423" spans="1:13" x14ac:dyDescent="0.25">
      <c r="A423" t="s">
        <v>188</v>
      </c>
      <c r="B423" s="3">
        <v>46125</v>
      </c>
      <c r="C423" t="s">
        <v>101</v>
      </c>
      <c r="D423" t="s">
        <v>175</v>
      </c>
      <c r="E423" t="s">
        <v>133</v>
      </c>
      <c r="F423" t="s">
        <v>454</v>
      </c>
      <c r="H423" s="4">
        <v>7</v>
      </c>
      <c r="I423" s="4">
        <v>1355.93</v>
      </c>
      <c r="J423">
        <v>9491.51</v>
      </c>
      <c r="K423">
        <v>854.23590000000002</v>
      </c>
      <c r="L423">
        <v>854.23590000000002</v>
      </c>
      <c r="M423">
        <v>11200</v>
      </c>
    </row>
    <row r="424" spans="1:13" x14ac:dyDescent="0.25">
      <c r="A424" t="s">
        <v>185</v>
      </c>
      <c r="B424" s="3">
        <v>46125</v>
      </c>
      <c r="C424" t="s">
        <v>78</v>
      </c>
      <c r="D424" t="s">
        <v>186</v>
      </c>
      <c r="E424" t="s">
        <v>133</v>
      </c>
      <c r="F424" t="s">
        <v>454</v>
      </c>
      <c r="H424">
        <v>10</v>
      </c>
      <c r="I424">
        <v>148.30000000000001</v>
      </c>
      <c r="J424">
        <v>1483</v>
      </c>
      <c r="K424">
        <v>133.47</v>
      </c>
      <c r="L424">
        <v>133.47</v>
      </c>
      <c r="M424">
        <v>1749.9</v>
      </c>
    </row>
    <row r="425" spans="1:13" x14ac:dyDescent="0.25">
      <c r="A425" t="s">
        <v>185</v>
      </c>
      <c r="B425" s="3">
        <v>46125</v>
      </c>
      <c r="C425" t="s">
        <v>78</v>
      </c>
      <c r="D425" t="s">
        <v>175</v>
      </c>
      <c r="E425" t="s">
        <v>133</v>
      </c>
      <c r="F425" t="s">
        <v>454</v>
      </c>
      <c r="H425">
        <v>1</v>
      </c>
      <c r="I425">
        <v>1356</v>
      </c>
      <c r="J425">
        <v>1356</v>
      </c>
      <c r="K425">
        <v>122.03999999999999</v>
      </c>
      <c r="L425">
        <v>122.03999999999999</v>
      </c>
      <c r="M425">
        <v>1600.1</v>
      </c>
    </row>
    <row r="426" spans="1:13" x14ac:dyDescent="0.25">
      <c r="A426" t="s">
        <v>185</v>
      </c>
      <c r="B426" s="3">
        <v>46125</v>
      </c>
      <c r="C426" t="s">
        <v>78</v>
      </c>
      <c r="D426" t="s">
        <v>187</v>
      </c>
      <c r="E426" t="s">
        <v>133</v>
      </c>
      <c r="F426" t="s">
        <v>454</v>
      </c>
      <c r="H426">
        <v>1</v>
      </c>
      <c r="I426">
        <v>1525.4</v>
      </c>
      <c r="J426">
        <v>1525.4</v>
      </c>
      <c r="K426">
        <v>137.286</v>
      </c>
      <c r="L426">
        <v>137.286</v>
      </c>
      <c r="M426">
        <v>1800</v>
      </c>
    </row>
    <row r="427" spans="1:13" x14ac:dyDescent="0.25">
      <c r="A427" t="s">
        <v>185</v>
      </c>
      <c r="B427" s="3">
        <v>46125</v>
      </c>
      <c r="C427" t="s">
        <v>78</v>
      </c>
      <c r="D427" t="s">
        <v>171</v>
      </c>
      <c r="E427" t="s">
        <v>133</v>
      </c>
      <c r="F427" t="s">
        <v>454</v>
      </c>
      <c r="H427">
        <v>20</v>
      </c>
      <c r="I427">
        <v>283.89999999999998</v>
      </c>
      <c r="J427">
        <v>5678</v>
      </c>
      <c r="K427">
        <v>511.02</v>
      </c>
      <c r="L427">
        <v>511.02</v>
      </c>
      <c r="M427">
        <v>6700</v>
      </c>
    </row>
    <row r="428" spans="1:13" x14ac:dyDescent="0.25">
      <c r="A428" t="s">
        <v>400</v>
      </c>
      <c r="B428" s="3">
        <v>46124</v>
      </c>
      <c r="C428" t="s">
        <v>28</v>
      </c>
      <c r="D428" t="s">
        <v>26</v>
      </c>
      <c r="E428" t="s">
        <v>452</v>
      </c>
      <c r="F428" t="s">
        <v>454</v>
      </c>
      <c r="G428" s="4">
        <v>94054900</v>
      </c>
      <c r="H428" s="4">
        <v>10</v>
      </c>
      <c r="I428" s="4">
        <v>50.85</v>
      </c>
      <c r="J428">
        <v>508.5</v>
      </c>
      <c r="K428">
        <v>45.765000000000001</v>
      </c>
      <c r="L428">
        <v>45.765000000000001</v>
      </c>
      <c r="M428">
        <v>600</v>
      </c>
    </row>
    <row r="429" spans="1:13" x14ac:dyDescent="0.25">
      <c r="A429" t="s">
        <v>400</v>
      </c>
      <c r="B429" s="3">
        <v>46124</v>
      </c>
      <c r="C429" t="s">
        <v>28</v>
      </c>
      <c r="D429" t="s">
        <v>13</v>
      </c>
      <c r="E429" t="s">
        <v>452</v>
      </c>
      <c r="F429" t="s">
        <v>454</v>
      </c>
      <c r="G429" s="4">
        <v>94054900</v>
      </c>
      <c r="H429" s="4">
        <v>20</v>
      </c>
      <c r="I429" s="4">
        <v>80.510000000000005</v>
      </c>
      <c r="J429">
        <v>1610.2</v>
      </c>
      <c r="K429">
        <v>144.91800000000001</v>
      </c>
      <c r="L429">
        <v>144.91800000000001</v>
      </c>
      <c r="M429">
        <v>1900</v>
      </c>
    </row>
    <row r="430" spans="1:13" x14ac:dyDescent="0.25">
      <c r="A430" t="s">
        <v>400</v>
      </c>
      <c r="B430" s="3">
        <v>46124</v>
      </c>
      <c r="C430" t="s">
        <v>28</v>
      </c>
      <c r="D430" t="s">
        <v>147</v>
      </c>
      <c r="E430" t="s">
        <v>452</v>
      </c>
      <c r="F430" t="s">
        <v>454</v>
      </c>
      <c r="G430" s="4">
        <v>94054900</v>
      </c>
      <c r="H430" s="4">
        <v>2</v>
      </c>
      <c r="I430" s="4">
        <v>136.44</v>
      </c>
      <c r="J430">
        <v>272.88</v>
      </c>
      <c r="K430">
        <v>24.559199999999997</v>
      </c>
      <c r="L430">
        <v>24.559199999999997</v>
      </c>
      <c r="M430">
        <v>322</v>
      </c>
    </row>
    <row r="431" spans="1:13" x14ac:dyDescent="0.25">
      <c r="A431" t="s">
        <v>184</v>
      </c>
      <c r="B431" s="3">
        <v>46124</v>
      </c>
      <c r="C431" t="s">
        <v>39</v>
      </c>
      <c r="D431" t="s">
        <v>164</v>
      </c>
      <c r="E431" t="s">
        <v>452</v>
      </c>
      <c r="F431" t="s">
        <v>454</v>
      </c>
      <c r="G431" s="4">
        <v>94054900</v>
      </c>
      <c r="H431">
        <v>5</v>
      </c>
      <c r="I431">
        <v>364.41</v>
      </c>
      <c r="J431">
        <v>1822.0500000000002</v>
      </c>
      <c r="K431">
        <v>163.9845</v>
      </c>
      <c r="L431">
        <v>163.9845</v>
      </c>
      <c r="M431">
        <v>2150</v>
      </c>
    </row>
    <row r="432" spans="1:13" x14ac:dyDescent="0.25">
      <c r="A432" t="s">
        <v>184</v>
      </c>
      <c r="B432" s="3">
        <v>46124</v>
      </c>
      <c r="C432" t="s">
        <v>39</v>
      </c>
      <c r="D432" t="s">
        <v>143</v>
      </c>
      <c r="E432" t="s">
        <v>452</v>
      </c>
      <c r="F432" t="s">
        <v>453</v>
      </c>
      <c r="G432" s="4">
        <v>84145120</v>
      </c>
      <c r="H432">
        <v>2</v>
      </c>
      <c r="I432">
        <v>2004.24</v>
      </c>
      <c r="J432">
        <v>4008.48</v>
      </c>
      <c r="K432">
        <v>360.76319999999998</v>
      </c>
      <c r="L432">
        <v>360.76319999999998</v>
      </c>
      <c r="M432">
        <v>4730</v>
      </c>
    </row>
    <row r="433" spans="1:13" x14ac:dyDescent="0.25">
      <c r="A433" t="s">
        <v>399</v>
      </c>
      <c r="B433" s="3">
        <v>46123</v>
      </c>
      <c r="C433" t="s">
        <v>20</v>
      </c>
      <c r="D433" t="s">
        <v>164</v>
      </c>
      <c r="E433" t="s">
        <v>452</v>
      </c>
      <c r="F433" t="s">
        <v>454</v>
      </c>
      <c r="G433" s="4">
        <v>94054900</v>
      </c>
      <c r="H433">
        <v>5</v>
      </c>
      <c r="I433">
        <v>364.4</v>
      </c>
      <c r="J433">
        <v>1822</v>
      </c>
      <c r="K433">
        <v>163.98</v>
      </c>
      <c r="L433">
        <v>163.98</v>
      </c>
      <c r="M433">
        <v>2150</v>
      </c>
    </row>
    <row r="434" spans="1:13" x14ac:dyDescent="0.25">
      <c r="A434" t="s">
        <v>379</v>
      </c>
      <c r="B434" s="3">
        <v>46122</v>
      </c>
      <c r="C434" t="s">
        <v>114</v>
      </c>
      <c r="D434" t="s">
        <v>164</v>
      </c>
      <c r="E434" t="s">
        <v>452</v>
      </c>
      <c r="F434" t="s">
        <v>454</v>
      </c>
      <c r="G434" s="4">
        <v>94054900</v>
      </c>
      <c r="H434">
        <v>10</v>
      </c>
      <c r="I434">
        <v>364.4</v>
      </c>
      <c r="J434">
        <v>3644</v>
      </c>
      <c r="K434">
        <v>327.96</v>
      </c>
      <c r="L434">
        <v>327.96</v>
      </c>
      <c r="M434">
        <v>4299.8999999999996</v>
      </c>
    </row>
    <row r="435" spans="1:13" x14ac:dyDescent="0.25">
      <c r="A435" t="s">
        <v>359</v>
      </c>
      <c r="B435" s="3">
        <v>46122</v>
      </c>
      <c r="C435" t="s">
        <v>12</v>
      </c>
      <c r="D435" t="s">
        <v>18</v>
      </c>
      <c r="E435" t="s">
        <v>452</v>
      </c>
      <c r="F435" t="s">
        <v>454</v>
      </c>
      <c r="G435" s="4">
        <v>94054900</v>
      </c>
      <c r="H435">
        <v>5</v>
      </c>
      <c r="I435">
        <v>296.61</v>
      </c>
      <c r="J435">
        <v>1483.0500000000002</v>
      </c>
      <c r="K435">
        <v>133.47450000000001</v>
      </c>
      <c r="L435">
        <v>133.47450000000001</v>
      </c>
      <c r="M435">
        <v>1750</v>
      </c>
    </row>
    <row r="436" spans="1:13" x14ac:dyDescent="0.25">
      <c r="A436" t="s">
        <v>359</v>
      </c>
      <c r="B436" s="3">
        <v>46122</v>
      </c>
      <c r="C436" t="s">
        <v>12</v>
      </c>
      <c r="D436" t="s">
        <v>14</v>
      </c>
      <c r="E436" t="s">
        <v>452</v>
      </c>
      <c r="F436" t="s">
        <v>454</v>
      </c>
      <c r="G436" s="4">
        <v>94054900</v>
      </c>
      <c r="H436">
        <v>10</v>
      </c>
      <c r="I436">
        <v>67.790000000000006</v>
      </c>
      <c r="J436">
        <v>677.90000000000009</v>
      </c>
      <c r="K436">
        <v>61.011000000000003</v>
      </c>
      <c r="L436">
        <v>61.011000000000003</v>
      </c>
      <c r="M436">
        <v>799.9</v>
      </c>
    </row>
    <row r="437" spans="1:13" x14ac:dyDescent="0.25">
      <c r="A437" t="s">
        <v>359</v>
      </c>
      <c r="B437" s="3">
        <v>46122</v>
      </c>
      <c r="C437" t="s">
        <v>12</v>
      </c>
      <c r="D437" t="s">
        <v>140</v>
      </c>
      <c r="E437" t="s">
        <v>452</v>
      </c>
      <c r="F437" t="s">
        <v>454</v>
      </c>
      <c r="G437" s="4">
        <v>94054900</v>
      </c>
      <c r="H437">
        <v>8</v>
      </c>
      <c r="I437">
        <v>131.35</v>
      </c>
      <c r="J437">
        <v>1050.8</v>
      </c>
      <c r="K437">
        <v>94.571999999999989</v>
      </c>
      <c r="L437">
        <v>94.571999999999989</v>
      </c>
      <c r="M437">
        <v>1239.9000000000001</v>
      </c>
    </row>
    <row r="438" spans="1:13" x14ac:dyDescent="0.25">
      <c r="A438" t="s">
        <v>359</v>
      </c>
      <c r="B438" s="3">
        <v>46122</v>
      </c>
      <c r="C438" t="s">
        <v>12</v>
      </c>
      <c r="D438" t="s">
        <v>191</v>
      </c>
      <c r="E438" t="s">
        <v>133</v>
      </c>
      <c r="F438" t="s">
        <v>454</v>
      </c>
      <c r="H438">
        <v>5</v>
      </c>
      <c r="I438">
        <v>190.67</v>
      </c>
      <c r="J438">
        <v>953.34999999999991</v>
      </c>
      <c r="K438">
        <v>85.80149999999999</v>
      </c>
      <c r="L438">
        <v>85.80149999999999</v>
      </c>
      <c r="M438">
        <v>1125</v>
      </c>
    </row>
    <row r="439" spans="1:13" x14ac:dyDescent="0.25">
      <c r="A439" t="s">
        <v>330</v>
      </c>
      <c r="B439" s="3">
        <v>46122</v>
      </c>
      <c r="C439" t="s">
        <v>129</v>
      </c>
      <c r="D439" t="s">
        <v>191</v>
      </c>
      <c r="E439" t="s">
        <v>133</v>
      </c>
      <c r="F439" t="s">
        <v>454</v>
      </c>
      <c r="H439">
        <v>10</v>
      </c>
      <c r="I439">
        <v>190.68</v>
      </c>
      <c r="J439">
        <v>1906.8000000000002</v>
      </c>
      <c r="K439">
        <v>171.61200000000002</v>
      </c>
      <c r="L439">
        <v>171.61200000000002</v>
      </c>
      <c r="M439">
        <v>2250</v>
      </c>
    </row>
    <row r="440" spans="1:13" x14ac:dyDescent="0.25">
      <c r="A440" t="s">
        <v>181</v>
      </c>
      <c r="B440" s="3">
        <v>46122</v>
      </c>
      <c r="C440" t="s">
        <v>182</v>
      </c>
      <c r="D440" t="s">
        <v>183</v>
      </c>
      <c r="E440" t="s">
        <v>133</v>
      </c>
      <c r="F440" t="s">
        <v>454</v>
      </c>
      <c r="H440">
        <v>6</v>
      </c>
      <c r="I440">
        <v>131.36000000000001</v>
      </c>
      <c r="J440">
        <v>788.16000000000008</v>
      </c>
      <c r="K440">
        <v>70.934400000000011</v>
      </c>
      <c r="L440">
        <v>70.934400000000011</v>
      </c>
      <c r="M440">
        <v>930</v>
      </c>
    </row>
    <row r="441" spans="1:13" x14ac:dyDescent="0.25">
      <c r="A441" t="s">
        <v>310</v>
      </c>
      <c r="B441" s="3">
        <v>46121</v>
      </c>
      <c r="C441" t="s">
        <v>154</v>
      </c>
      <c r="D441" t="s">
        <v>164</v>
      </c>
      <c r="E441" t="s">
        <v>452</v>
      </c>
      <c r="F441" t="s">
        <v>454</v>
      </c>
      <c r="G441" s="4">
        <v>94054900</v>
      </c>
      <c r="H441" s="4">
        <v>4</v>
      </c>
      <c r="I441" s="4">
        <v>364.41</v>
      </c>
      <c r="J441">
        <v>1457.64</v>
      </c>
      <c r="K441">
        <v>131.1876</v>
      </c>
      <c r="L441">
        <v>131.1876</v>
      </c>
      <c r="M441">
        <v>1720</v>
      </c>
    </row>
    <row r="442" spans="1:13" x14ac:dyDescent="0.25">
      <c r="A442" t="s">
        <v>310</v>
      </c>
      <c r="B442" s="3">
        <v>46121</v>
      </c>
      <c r="C442" t="s">
        <v>154</v>
      </c>
      <c r="D442" t="s">
        <v>147</v>
      </c>
      <c r="E442" t="s">
        <v>452</v>
      </c>
      <c r="F442" t="s">
        <v>454</v>
      </c>
      <c r="G442" s="4">
        <v>94054900</v>
      </c>
      <c r="H442" s="4">
        <v>5</v>
      </c>
      <c r="I442" s="4">
        <v>136.44</v>
      </c>
      <c r="J442">
        <v>682.2</v>
      </c>
      <c r="K442">
        <v>61.398000000000003</v>
      </c>
      <c r="L442">
        <v>61.398000000000003</v>
      </c>
      <c r="M442">
        <v>805</v>
      </c>
    </row>
    <row r="443" spans="1:13" x14ac:dyDescent="0.25">
      <c r="A443" t="s">
        <v>310</v>
      </c>
      <c r="B443" s="3">
        <v>46121</v>
      </c>
      <c r="C443" t="s">
        <v>154</v>
      </c>
      <c r="D443" t="s">
        <v>27</v>
      </c>
      <c r="E443" t="s">
        <v>452</v>
      </c>
      <c r="F443" t="s">
        <v>454</v>
      </c>
      <c r="G443" s="4">
        <v>94054900</v>
      </c>
      <c r="H443" s="4">
        <v>5</v>
      </c>
      <c r="I443" s="4">
        <v>207.63</v>
      </c>
      <c r="J443">
        <v>1038.1500000000001</v>
      </c>
      <c r="K443">
        <v>93.433500000000009</v>
      </c>
      <c r="L443">
        <v>93.433500000000009</v>
      </c>
      <c r="M443">
        <v>1225</v>
      </c>
    </row>
    <row r="444" spans="1:13" x14ac:dyDescent="0.25">
      <c r="A444" t="s">
        <v>310</v>
      </c>
      <c r="B444" s="3">
        <v>46121</v>
      </c>
      <c r="C444" t="s">
        <v>154</v>
      </c>
      <c r="D444" t="s">
        <v>191</v>
      </c>
      <c r="E444" t="s">
        <v>133</v>
      </c>
      <c r="F444" t="s">
        <v>454</v>
      </c>
      <c r="H444" s="4">
        <v>5</v>
      </c>
      <c r="I444" s="4">
        <v>186.44</v>
      </c>
      <c r="J444">
        <v>932.2</v>
      </c>
      <c r="K444">
        <v>83.897999999999996</v>
      </c>
      <c r="L444">
        <v>83.897999999999996</v>
      </c>
      <c r="M444">
        <v>1100</v>
      </c>
    </row>
    <row r="445" spans="1:13" x14ac:dyDescent="0.25">
      <c r="A445" t="s">
        <v>281</v>
      </c>
      <c r="B445" s="3">
        <v>46119</v>
      </c>
      <c r="C445" t="s">
        <v>146</v>
      </c>
      <c r="D445" t="s">
        <v>164</v>
      </c>
      <c r="E445" t="s">
        <v>452</v>
      </c>
      <c r="F445" t="s">
        <v>454</v>
      </c>
      <c r="G445" s="4">
        <v>94054900</v>
      </c>
      <c r="H445">
        <v>5</v>
      </c>
      <c r="I445">
        <v>364.4</v>
      </c>
      <c r="J445">
        <v>1822</v>
      </c>
      <c r="K445">
        <v>163.98</v>
      </c>
      <c r="L445">
        <v>163.98</v>
      </c>
      <c r="M445">
        <v>2150</v>
      </c>
    </row>
    <row r="446" spans="1:13" x14ac:dyDescent="0.25">
      <c r="A446" t="s">
        <v>279</v>
      </c>
      <c r="B446" s="3">
        <v>46119</v>
      </c>
      <c r="C446" t="s">
        <v>22</v>
      </c>
      <c r="D446" t="s">
        <v>280</v>
      </c>
      <c r="E446" t="s">
        <v>452</v>
      </c>
      <c r="F446" t="s">
        <v>454</v>
      </c>
      <c r="G446" s="4">
        <v>94054900</v>
      </c>
      <c r="H446">
        <v>4</v>
      </c>
      <c r="I446">
        <v>800</v>
      </c>
      <c r="J446">
        <v>3200</v>
      </c>
      <c r="K446">
        <v>288</v>
      </c>
      <c r="L446">
        <v>288</v>
      </c>
      <c r="M446">
        <v>3776</v>
      </c>
    </row>
    <row r="447" spans="1:13" x14ac:dyDescent="0.25">
      <c r="A447" t="s">
        <v>277</v>
      </c>
      <c r="B447" s="3">
        <v>46119</v>
      </c>
      <c r="C447" t="s">
        <v>151</v>
      </c>
      <c r="D447" t="s">
        <v>140</v>
      </c>
      <c r="E447" t="s">
        <v>452</v>
      </c>
      <c r="F447" t="s">
        <v>454</v>
      </c>
      <c r="G447" s="4">
        <v>94054900</v>
      </c>
      <c r="H447" s="4">
        <v>40</v>
      </c>
      <c r="I447" s="4">
        <v>114.41</v>
      </c>
      <c r="J447">
        <v>4576.3999999999996</v>
      </c>
      <c r="K447">
        <v>411.87599999999998</v>
      </c>
      <c r="L447">
        <v>411.87599999999998</v>
      </c>
      <c r="M447">
        <v>5400.2</v>
      </c>
    </row>
    <row r="448" spans="1:13" x14ac:dyDescent="0.25">
      <c r="A448" t="s">
        <v>277</v>
      </c>
      <c r="B448" s="3">
        <v>46119</v>
      </c>
      <c r="C448" t="s">
        <v>151</v>
      </c>
      <c r="D448" t="s">
        <v>68</v>
      </c>
      <c r="E448" t="s">
        <v>452</v>
      </c>
      <c r="F448" t="s">
        <v>454</v>
      </c>
      <c r="G448" s="4">
        <v>94054900</v>
      </c>
      <c r="H448" s="4">
        <v>3</v>
      </c>
      <c r="I448" s="4">
        <v>399.15</v>
      </c>
      <c r="J448">
        <v>1197.4499999999998</v>
      </c>
      <c r="K448">
        <v>107.77049999999998</v>
      </c>
      <c r="L448">
        <v>107.77049999999998</v>
      </c>
      <c r="M448">
        <v>1413</v>
      </c>
    </row>
    <row r="449" spans="1:13" x14ac:dyDescent="0.25">
      <c r="A449" t="s">
        <v>277</v>
      </c>
      <c r="B449" s="3">
        <v>46119</v>
      </c>
      <c r="C449" t="s">
        <v>151</v>
      </c>
      <c r="D449" t="s">
        <v>136</v>
      </c>
      <c r="E449" t="s">
        <v>452</v>
      </c>
      <c r="F449" t="s">
        <v>454</v>
      </c>
      <c r="G449" s="4">
        <v>94054900</v>
      </c>
      <c r="H449" s="4">
        <v>3</v>
      </c>
      <c r="I449" s="4">
        <v>512.71</v>
      </c>
      <c r="J449">
        <v>1538.13</v>
      </c>
      <c r="K449">
        <v>138.43170000000001</v>
      </c>
      <c r="L449">
        <v>138.43170000000001</v>
      </c>
      <c r="M449">
        <v>1815</v>
      </c>
    </row>
    <row r="450" spans="1:13" x14ac:dyDescent="0.25">
      <c r="A450" t="s">
        <v>277</v>
      </c>
      <c r="B450" s="3">
        <v>46119</v>
      </c>
      <c r="C450" t="s">
        <v>151</v>
      </c>
      <c r="D450" t="s">
        <v>278</v>
      </c>
      <c r="E450" t="s">
        <v>133</v>
      </c>
      <c r="F450" t="s">
        <v>454</v>
      </c>
      <c r="H450" s="4">
        <v>20</v>
      </c>
      <c r="I450" s="4">
        <v>147.46</v>
      </c>
      <c r="J450">
        <v>2949.2000000000003</v>
      </c>
      <c r="K450">
        <v>265.428</v>
      </c>
      <c r="L450">
        <v>265.428</v>
      </c>
      <c r="M450">
        <v>3480.1</v>
      </c>
    </row>
    <row r="451" spans="1:13" x14ac:dyDescent="0.25">
      <c r="A451" t="s">
        <v>277</v>
      </c>
      <c r="B451" s="3">
        <v>46119</v>
      </c>
      <c r="C451" t="s">
        <v>151</v>
      </c>
      <c r="D451" t="s">
        <v>54</v>
      </c>
      <c r="E451" t="s">
        <v>452</v>
      </c>
      <c r="F451" t="s">
        <v>454</v>
      </c>
      <c r="G451" s="4">
        <v>94054900</v>
      </c>
      <c r="H451" s="4">
        <v>5</v>
      </c>
      <c r="I451" s="4">
        <v>119.49</v>
      </c>
      <c r="J451">
        <v>597.44999999999993</v>
      </c>
      <c r="K451">
        <v>53.770499999999991</v>
      </c>
      <c r="L451">
        <v>53.770499999999991</v>
      </c>
      <c r="M451">
        <v>705</v>
      </c>
    </row>
    <row r="452" spans="1:13" x14ac:dyDescent="0.25">
      <c r="A452" t="s">
        <v>277</v>
      </c>
      <c r="B452" s="3">
        <v>46119</v>
      </c>
      <c r="C452" t="s">
        <v>151</v>
      </c>
      <c r="D452" t="s">
        <v>64</v>
      </c>
      <c r="E452" t="s">
        <v>452</v>
      </c>
      <c r="F452" t="s">
        <v>454</v>
      </c>
      <c r="G452" s="4">
        <v>94054900</v>
      </c>
      <c r="H452" s="4">
        <v>5</v>
      </c>
      <c r="I452" s="4">
        <v>161.02000000000001</v>
      </c>
      <c r="J452">
        <v>805.1</v>
      </c>
      <c r="K452">
        <v>72.459000000000003</v>
      </c>
      <c r="L452">
        <v>72.459000000000003</v>
      </c>
      <c r="M452">
        <v>950</v>
      </c>
    </row>
    <row r="453" spans="1:13" x14ac:dyDescent="0.25">
      <c r="A453" t="s">
        <v>277</v>
      </c>
      <c r="B453" s="3">
        <v>46119</v>
      </c>
      <c r="C453" t="s">
        <v>151</v>
      </c>
      <c r="D453" t="s">
        <v>11</v>
      </c>
      <c r="E453" t="s">
        <v>452</v>
      </c>
      <c r="F453" t="s">
        <v>454</v>
      </c>
      <c r="G453" s="4">
        <v>94054900</v>
      </c>
      <c r="H453" s="4">
        <v>10</v>
      </c>
      <c r="I453" s="4">
        <v>46.61</v>
      </c>
      <c r="J453">
        <v>466.1</v>
      </c>
      <c r="K453">
        <v>41.948999999999998</v>
      </c>
      <c r="L453">
        <v>41.948999999999998</v>
      </c>
      <c r="M453">
        <v>550</v>
      </c>
    </row>
    <row r="454" spans="1:13" x14ac:dyDescent="0.25">
      <c r="A454" t="s">
        <v>277</v>
      </c>
      <c r="B454" s="3">
        <v>46119</v>
      </c>
      <c r="C454" t="s">
        <v>151</v>
      </c>
      <c r="D454" t="s">
        <v>18</v>
      </c>
      <c r="E454" t="s">
        <v>452</v>
      </c>
      <c r="F454" t="s">
        <v>454</v>
      </c>
      <c r="G454" s="4">
        <v>94054900</v>
      </c>
      <c r="H454" s="4">
        <v>20</v>
      </c>
      <c r="I454" s="4">
        <v>264.41000000000003</v>
      </c>
      <c r="J454">
        <v>5288.2000000000007</v>
      </c>
      <c r="K454">
        <v>475.93800000000005</v>
      </c>
      <c r="L454">
        <v>475.93800000000005</v>
      </c>
      <c r="M454">
        <v>6240.1</v>
      </c>
    </row>
    <row r="455" spans="1:13" x14ac:dyDescent="0.25">
      <c r="A455" t="s">
        <v>275</v>
      </c>
      <c r="B455" s="3">
        <v>46118</v>
      </c>
      <c r="C455" t="s">
        <v>276</v>
      </c>
      <c r="D455" t="s">
        <v>191</v>
      </c>
      <c r="E455" t="s">
        <v>133</v>
      </c>
      <c r="F455" t="s">
        <v>454</v>
      </c>
      <c r="H455">
        <v>20</v>
      </c>
      <c r="I455">
        <v>207.62</v>
      </c>
      <c r="J455">
        <v>4152.3999999999996</v>
      </c>
      <c r="K455">
        <v>373.71599999999995</v>
      </c>
      <c r="L455">
        <v>373.71599999999995</v>
      </c>
      <c r="M455">
        <v>4899.8</v>
      </c>
    </row>
    <row r="456" spans="1:13" x14ac:dyDescent="0.25">
      <c r="A456" t="s">
        <v>274</v>
      </c>
      <c r="B456" s="3">
        <v>46116</v>
      </c>
      <c r="C456" t="s">
        <v>31</v>
      </c>
      <c r="D456" t="s">
        <v>33</v>
      </c>
      <c r="E456" t="s">
        <v>452</v>
      </c>
      <c r="F456" t="s">
        <v>453</v>
      </c>
      <c r="G456" s="4">
        <v>84145120</v>
      </c>
      <c r="H456">
        <v>2</v>
      </c>
      <c r="I456" s="4">
        <v>1906.77</v>
      </c>
      <c r="J456">
        <v>3813.54</v>
      </c>
      <c r="K456">
        <v>343.21859999999998</v>
      </c>
      <c r="L456">
        <v>343.21859999999998</v>
      </c>
      <c r="M456">
        <v>4500</v>
      </c>
    </row>
    <row r="457" spans="1:13" x14ac:dyDescent="0.25">
      <c r="A457" t="s">
        <v>174</v>
      </c>
      <c r="B457" s="3">
        <v>46116</v>
      </c>
      <c r="C457" t="s">
        <v>112</v>
      </c>
      <c r="D457" t="s">
        <v>175</v>
      </c>
      <c r="E457" t="s">
        <v>133</v>
      </c>
      <c r="F457" t="s">
        <v>454</v>
      </c>
      <c r="H457" s="4">
        <v>8</v>
      </c>
      <c r="I457" s="4">
        <v>1355.9</v>
      </c>
      <c r="J457">
        <v>10847.2</v>
      </c>
      <c r="K457">
        <v>976.24800000000005</v>
      </c>
      <c r="L457">
        <v>976.24800000000005</v>
      </c>
      <c r="M457">
        <v>12799.7</v>
      </c>
    </row>
    <row r="458" spans="1:13" x14ac:dyDescent="0.25">
      <c r="A458" t="s">
        <v>174</v>
      </c>
      <c r="B458" s="3">
        <v>46116</v>
      </c>
      <c r="C458" t="s">
        <v>112</v>
      </c>
      <c r="D458" t="s">
        <v>82</v>
      </c>
      <c r="E458" t="s">
        <v>452</v>
      </c>
      <c r="F458" t="s">
        <v>453</v>
      </c>
      <c r="G458" s="4">
        <v>84145120</v>
      </c>
      <c r="H458" s="4">
        <v>3</v>
      </c>
      <c r="I458" s="4">
        <v>1144.06</v>
      </c>
      <c r="J458">
        <v>3432.18</v>
      </c>
      <c r="K458">
        <v>308.89619999999996</v>
      </c>
      <c r="L458">
        <v>308.89619999999996</v>
      </c>
      <c r="M458">
        <v>4050</v>
      </c>
    </row>
    <row r="459" spans="1:13" x14ac:dyDescent="0.25">
      <c r="A459" t="s">
        <v>174</v>
      </c>
      <c r="B459" s="3">
        <v>46116</v>
      </c>
      <c r="C459" t="s">
        <v>112</v>
      </c>
      <c r="D459" t="s">
        <v>155</v>
      </c>
      <c r="E459" t="s">
        <v>452</v>
      </c>
      <c r="F459" t="s">
        <v>453</v>
      </c>
      <c r="G459" s="4">
        <v>84145120</v>
      </c>
      <c r="H459" s="4">
        <v>4</v>
      </c>
      <c r="I459" s="4">
        <v>1144.06</v>
      </c>
      <c r="J459">
        <v>4576.24</v>
      </c>
      <c r="K459">
        <v>411.86159999999995</v>
      </c>
      <c r="L459">
        <v>411.86159999999995</v>
      </c>
      <c r="M459">
        <v>5400</v>
      </c>
    </row>
    <row r="460" spans="1:13" x14ac:dyDescent="0.25">
      <c r="A460" t="s">
        <v>174</v>
      </c>
      <c r="B460" s="3">
        <v>46116</v>
      </c>
      <c r="C460" t="s">
        <v>112</v>
      </c>
      <c r="D460" t="s">
        <v>176</v>
      </c>
      <c r="E460" t="s">
        <v>177</v>
      </c>
      <c r="F460" t="s">
        <v>481</v>
      </c>
      <c r="H460" s="4">
        <v>1</v>
      </c>
      <c r="I460" s="4">
        <v>2033.9</v>
      </c>
      <c r="J460">
        <v>2033.9</v>
      </c>
      <c r="K460">
        <v>183.05099999999999</v>
      </c>
      <c r="L460">
        <v>183.05099999999999</v>
      </c>
      <c r="M460">
        <v>2400</v>
      </c>
    </row>
    <row r="461" spans="1:13" x14ac:dyDescent="0.25">
      <c r="A461" t="s">
        <v>174</v>
      </c>
      <c r="B461" s="3">
        <v>46116</v>
      </c>
      <c r="C461" t="s">
        <v>112</v>
      </c>
      <c r="D461" t="s">
        <v>178</v>
      </c>
      <c r="E461" t="s">
        <v>133</v>
      </c>
      <c r="F461" t="s">
        <v>454</v>
      </c>
      <c r="H461" s="4">
        <v>80</v>
      </c>
      <c r="I461" s="4">
        <v>80.5</v>
      </c>
      <c r="J461">
        <v>6440</v>
      </c>
      <c r="K461">
        <v>579.6</v>
      </c>
      <c r="L461">
        <v>579.6</v>
      </c>
      <c r="M461">
        <v>7599.2</v>
      </c>
    </row>
    <row r="462" spans="1:13" x14ac:dyDescent="0.25">
      <c r="A462" t="s">
        <v>174</v>
      </c>
      <c r="B462" s="3">
        <v>46116</v>
      </c>
      <c r="C462" t="s">
        <v>112</v>
      </c>
      <c r="D462" t="s">
        <v>179</v>
      </c>
      <c r="E462" t="s">
        <v>133</v>
      </c>
      <c r="F462" t="s">
        <v>454</v>
      </c>
      <c r="H462" s="4">
        <v>10</v>
      </c>
      <c r="I462" s="4">
        <v>271.18</v>
      </c>
      <c r="J462">
        <v>2711.8</v>
      </c>
      <c r="K462">
        <v>244.06200000000001</v>
      </c>
      <c r="L462">
        <v>244.06200000000001</v>
      </c>
      <c r="M462">
        <v>3199.9</v>
      </c>
    </row>
    <row r="463" spans="1:13" x14ac:dyDescent="0.25">
      <c r="A463" t="s">
        <v>174</v>
      </c>
      <c r="B463" s="3">
        <v>46116</v>
      </c>
      <c r="C463" t="s">
        <v>112</v>
      </c>
      <c r="D463" t="s">
        <v>180</v>
      </c>
      <c r="E463" t="s">
        <v>133</v>
      </c>
      <c r="F463" t="s">
        <v>454</v>
      </c>
      <c r="H463" s="4">
        <v>4</v>
      </c>
      <c r="I463" s="4">
        <v>1992.6</v>
      </c>
      <c r="J463">
        <v>7970.4</v>
      </c>
      <c r="K463">
        <v>717.3359999999999</v>
      </c>
      <c r="L463">
        <v>717.3359999999999</v>
      </c>
      <c r="M463">
        <v>9405.1</v>
      </c>
    </row>
    <row r="464" spans="1:13" x14ac:dyDescent="0.25">
      <c r="A464" t="s">
        <v>174</v>
      </c>
      <c r="B464" s="3">
        <v>46116</v>
      </c>
      <c r="C464" t="s">
        <v>112</v>
      </c>
      <c r="D464" t="s">
        <v>170</v>
      </c>
      <c r="E464" t="s">
        <v>133</v>
      </c>
      <c r="F464" t="s">
        <v>454</v>
      </c>
      <c r="H464" s="4">
        <v>640</v>
      </c>
      <c r="I464" s="4">
        <v>66.94</v>
      </c>
      <c r="J464">
        <v>42841.599999999999</v>
      </c>
      <c r="K464">
        <v>3855.7439999999997</v>
      </c>
      <c r="L464">
        <v>3855.7439999999997</v>
      </c>
      <c r="M464">
        <v>50553.1</v>
      </c>
    </row>
    <row r="465" spans="1:13" x14ac:dyDescent="0.25">
      <c r="A465" t="s">
        <v>273</v>
      </c>
      <c r="B465" s="3">
        <v>46114</v>
      </c>
      <c r="C465" t="s">
        <v>20</v>
      </c>
      <c r="D465" t="s">
        <v>16</v>
      </c>
      <c r="E465" t="s">
        <v>452</v>
      </c>
      <c r="F465" t="s">
        <v>454</v>
      </c>
      <c r="G465" s="4">
        <v>94054900</v>
      </c>
      <c r="H465" s="4">
        <v>10</v>
      </c>
      <c r="I465" s="4">
        <v>186.4</v>
      </c>
      <c r="J465">
        <v>1864</v>
      </c>
      <c r="K465">
        <v>167.76</v>
      </c>
      <c r="L465">
        <v>167.76</v>
      </c>
      <c r="M465">
        <v>2199.5</v>
      </c>
    </row>
    <row r="466" spans="1:13" x14ac:dyDescent="0.25">
      <c r="A466" t="s">
        <v>168</v>
      </c>
      <c r="B466" s="3">
        <v>46114</v>
      </c>
      <c r="C466" t="s">
        <v>112</v>
      </c>
      <c r="D466" t="s">
        <v>169</v>
      </c>
      <c r="E466" t="s">
        <v>133</v>
      </c>
      <c r="F466" t="s">
        <v>454</v>
      </c>
      <c r="H466">
        <v>20</v>
      </c>
      <c r="I466">
        <v>271.18</v>
      </c>
      <c r="J466">
        <v>5423.6</v>
      </c>
      <c r="K466">
        <v>488.12400000000002</v>
      </c>
      <c r="L466">
        <v>488.12400000000002</v>
      </c>
      <c r="M466">
        <v>6399.8</v>
      </c>
    </row>
    <row r="467" spans="1:13" x14ac:dyDescent="0.25">
      <c r="A467" t="s">
        <v>168</v>
      </c>
      <c r="B467" s="3">
        <v>46114</v>
      </c>
      <c r="C467" t="s">
        <v>112</v>
      </c>
      <c r="D467" t="s">
        <v>170</v>
      </c>
      <c r="E467" t="s">
        <v>133</v>
      </c>
      <c r="F467" t="s">
        <v>454</v>
      </c>
      <c r="H467">
        <v>160</v>
      </c>
      <c r="I467">
        <v>72.03</v>
      </c>
      <c r="J467">
        <v>11524.8</v>
      </c>
      <c r="K467">
        <v>1037.232</v>
      </c>
      <c r="L467">
        <v>1037.232</v>
      </c>
      <c r="M467">
        <v>13599.3</v>
      </c>
    </row>
    <row r="468" spans="1:13" x14ac:dyDescent="0.25">
      <c r="A468" t="s">
        <v>168</v>
      </c>
      <c r="B468" s="3">
        <v>46114</v>
      </c>
      <c r="C468" t="s">
        <v>112</v>
      </c>
      <c r="D468" t="s">
        <v>171</v>
      </c>
      <c r="E468" t="s">
        <v>133</v>
      </c>
      <c r="F468" t="s">
        <v>454</v>
      </c>
      <c r="H468">
        <v>40</v>
      </c>
      <c r="I468">
        <v>241.52</v>
      </c>
      <c r="J468">
        <v>9660.8000000000011</v>
      </c>
      <c r="K468">
        <v>869.47200000000009</v>
      </c>
      <c r="L468">
        <v>869.47200000000009</v>
      </c>
      <c r="M468">
        <v>11399.7</v>
      </c>
    </row>
    <row r="469" spans="1:13" x14ac:dyDescent="0.25">
      <c r="A469" t="s">
        <v>168</v>
      </c>
      <c r="B469" s="3">
        <v>46114</v>
      </c>
      <c r="C469" t="s">
        <v>112</v>
      </c>
      <c r="D469" t="s">
        <v>172</v>
      </c>
      <c r="E469" t="s">
        <v>133</v>
      </c>
      <c r="F469" t="s">
        <v>454</v>
      </c>
      <c r="H469">
        <v>5</v>
      </c>
      <c r="I469">
        <v>919.49</v>
      </c>
      <c r="J469">
        <v>4597.45</v>
      </c>
      <c r="K469">
        <v>413.77049999999997</v>
      </c>
      <c r="L469">
        <v>413.77049999999997</v>
      </c>
      <c r="M469">
        <v>5425</v>
      </c>
    </row>
    <row r="470" spans="1:13" x14ac:dyDescent="0.25">
      <c r="A470" t="s">
        <v>168</v>
      </c>
      <c r="B470" s="3">
        <v>46114</v>
      </c>
      <c r="C470" t="s">
        <v>112</v>
      </c>
      <c r="D470" t="s">
        <v>173</v>
      </c>
      <c r="E470" t="s">
        <v>133</v>
      </c>
      <c r="F470" t="s">
        <v>454</v>
      </c>
      <c r="H470">
        <v>120</v>
      </c>
      <c r="I470">
        <v>16.940000000000001</v>
      </c>
      <c r="J470">
        <v>2032.8000000000002</v>
      </c>
      <c r="K470">
        <v>182.952</v>
      </c>
      <c r="L470">
        <v>182.952</v>
      </c>
      <c r="M470">
        <v>2398.6999999999998</v>
      </c>
    </row>
    <row r="471" spans="1:13" x14ac:dyDescent="0.25">
      <c r="A471" t="s">
        <v>272</v>
      </c>
      <c r="B471" s="3">
        <v>46113</v>
      </c>
      <c r="C471" t="s">
        <v>129</v>
      </c>
      <c r="D471" t="s">
        <v>164</v>
      </c>
      <c r="E471" t="s">
        <v>452</v>
      </c>
      <c r="F471" t="s">
        <v>454</v>
      </c>
      <c r="G471" s="4">
        <v>94054900</v>
      </c>
      <c r="H471">
        <v>6</v>
      </c>
      <c r="I471">
        <v>364.4</v>
      </c>
      <c r="J471">
        <v>2186.3999999999996</v>
      </c>
      <c r="K471">
        <v>196.77599999999995</v>
      </c>
      <c r="L471">
        <v>196.77599999999995</v>
      </c>
      <c r="M471">
        <v>2580</v>
      </c>
    </row>
  </sheetData>
  <sortState xmlns:xlrd2="http://schemas.microsoft.com/office/spreadsheetml/2017/richdata2" ref="A2:M476">
    <sortCondition descending="1" ref="B1:B4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3"/>
  <sheetViews>
    <sheetView workbookViewId="0">
      <pane ySplit="1" topLeftCell="A2" activePane="bottomLeft" state="frozen"/>
      <selection pane="bottomLeft" activeCell="A3" sqref="A3:A513"/>
    </sheetView>
  </sheetViews>
  <sheetFormatPr defaultRowHeight="15" x14ac:dyDescent="0.25"/>
  <cols>
    <col min="1" max="1" width="10.42578125" bestFit="1" customWidth="1"/>
    <col min="2" max="2" width="15.5703125" style="3" customWidth="1"/>
    <col min="3" max="3" width="43.85546875" bestFit="1" customWidth="1"/>
    <col min="4" max="4" width="51" bestFit="1" customWidth="1"/>
    <col min="5" max="5" width="16.5703125" customWidth="1"/>
    <col min="6" max="6" width="16.28515625" bestFit="1" customWidth="1"/>
    <col min="7" max="7" width="9.7109375" bestFit="1" customWidth="1"/>
    <col min="8" max="8" width="8.7109375" bestFit="1" customWidth="1"/>
    <col min="9" max="9" width="8" bestFit="1" customWidth="1"/>
    <col min="10" max="10" width="8" customWidth="1"/>
    <col min="11" max="11" width="5.5703125" bestFit="1" customWidth="1"/>
    <col min="12" max="12" width="5.42578125" bestFit="1" customWidth="1"/>
    <col min="13" max="13" width="13.140625" bestFit="1" customWidth="1"/>
  </cols>
  <sheetData>
    <row r="1" spans="1:13" x14ac:dyDescent="0.25">
      <c r="A1" s="1" t="s">
        <v>0</v>
      </c>
      <c r="B1" s="2" t="s">
        <v>132</v>
      </c>
      <c r="C1" s="1" t="s">
        <v>1</v>
      </c>
      <c r="D1" s="1" t="s">
        <v>2</v>
      </c>
      <c r="E1" s="1" t="s">
        <v>134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455</v>
      </c>
      <c r="K1" s="1" t="s">
        <v>7</v>
      </c>
      <c r="L1" s="1" t="s">
        <v>8</v>
      </c>
      <c r="M1" s="1" t="s">
        <v>9</v>
      </c>
    </row>
    <row r="2" spans="1:13" x14ac:dyDescent="0.25">
      <c r="A2" s="4">
        <v>223</v>
      </c>
      <c r="B2" s="3">
        <v>46109</v>
      </c>
      <c r="C2" t="s">
        <v>22</v>
      </c>
      <c r="D2" t="s">
        <v>140</v>
      </c>
      <c r="E2" t="s">
        <v>452</v>
      </c>
      <c r="F2" t="s">
        <v>454</v>
      </c>
      <c r="G2" s="4">
        <v>94054900</v>
      </c>
      <c r="H2" s="4">
        <v>6</v>
      </c>
      <c r="I2" s="4">
        <v>114.41</v>
      </c>
      <c r="J2" s="4">
        <f>I2*H2</f>
        <v>686.46</v>
      </c>
      <c r="K2">
        <f>J2*0.09</f>
        <v>61.781399999999998</v>
      </c>
      <c r="L2">
        <f>K2</f>
        <v>61.781399999999998</v>
      </c>
      <c r="M2">
        <f>ROUND(J2*1.18,1)</f>
        <v>810</v>
      </c>
    </row>
    <row r="3" spans="1:13" x14ac:dyDescent="0.25">
      <c r="A3" s="4">
        <v>223</v>
      </c>
      <c r="B3" s="3">
        <v>46109</v>
      </c>
      <c r="C3" t="s">
        <v>22</v>
      </c>
      <c r="D3" t="s">
        <v>14</v>
      </c>
      <c r="E3" t="s">
        <v>452</v>
      </c>
      <c r="F3" t="s">
        <v>454</v>
      </c>
      <c r="G3" s="4">
        <v>94054900</v>
      </c>
      <c r="H3" s="4">
        <v>10</v>
      </c>
      <c r="I3" s="4">
        <v>63.56</v>
      </c>
      <c r="J3" s="4">
        <f t="shared" ref="J3:J66" si="0">I3*H3</f>
        <v>635.6</v>
      </c>
      <c r="K3">
        <f t="shared" ref="K3:K66" si="1">J3*0.09</f>
        <v>57.204000000000001</v>
      </c>
      <c r="L3">
        <f t="shared" ref="L3:L66" si="2">K3</f>
        <v>57.204000000000001</v>
      </c>
      <c r="M3">
        <f t="shared" ref="M3:M66" si="3">ROUND(J3*1.18,1)</f>
        <v>750</v>
      </c>
    </row>
    <row r="4" spans="1:13" x14ac:dyDescent="0.25">
      <c r="A4" s="4">
        <v>223</v>
      </c>
      <c r="B4" s="3">
        <v>46109</v>
      </c>
      <c r="C4" t="s">
        <v>22</v>
      </c>
      <c r="D4" t="s">
        <v>27</v>
      </c>
      <c r="E4" t="s">
        <v>452</v>
      </c>
      <c r="F4" t="s">
        <v>454</v>
      </c>
      <c r="G4" s="4">
        <v>94054900</v>
      </c>
      <c r="H4" s="4">
        <v>10</v>
      </c>
      <c r="I4" s="4">
        <v>199.15</v>
      </c>
      <c r="J4" s="4">
        <f t="shared" si="0"/>
        <v>1991.5</v>
      </c>
      <c r="K4">
        <f t="shared" si="1"/>
        <v>179.23499999999999</v>
      </c>
      <c r="L4">
        <f t="shared" si="2"/>
        <v>179.23499999999999</v>
      </c>
      <c r="M4">
        <f t="shared" si="3"/>
        <v>2350</v>
      </c>
    </row>
    <row r="5" spans="1:13" x14ac:dyDescent="0.25">
      <c r="A5" s="4">
        <v>223</v>
      </c>
      <c r="B5" s="3">
        <v>46109</v>
      </c>
      <c r="C5" t="s">
        <v>22</v>
      </c>
      <c r="D5" t="s">
        <v>53</v>
      </c>
      <c r="E5" t="s">
        <v>452</v>
      </c>
      <c r="F5" t="s">
        <v>454</v>
      </c>
      <c r="G5" s="4">
        <v>94054900</v>
      </c>
      <c r="H5" s="4">
        <v>2</v>
      </c>
      <c r="I5" s="4">
        <v>240.68</v>
      </c>
      <c r="J5" s="4">
        <f t="shared" si="0"/>
        <v>481.36</v>
      </c>
      <c r="K5">
        <f t="shared" si="1"/>
        <v>43.322400000000002</v>
      </c>
      <c r="L5">
        <f t="shared" si="2"/>
        <v>43.322400000000002</v>
      </c>
      <c r="M5">
        <f t="shared" si="3"/>
        <v>568</v>
      </c>
    </row>
    <row r="6" spans="1:13" x14ac:dyDescent="0.25">
      <c r="A6" s="4">
        <v>223</v>
      </c>
      <c r="B6" s="3">
        <v>46109</v>
      </c>
      <c r="C6" t="s">
        <v>22</v>
      </c>
      <c r="D6" t="s">
        <v>147</v>
      </c>
      <c r="E6" t="s">
        <v>452</v>
      </c>
      <c r="F6" t="s">
        <v>454</v>
      </c>
      <c r="G6" s="4">
        <v>94054900</v>
      </c>
      <c r="H6" s="4">
        <v>2</v>
      </c>
      <c r="I6" s="4">
        <v>130.51</v>
      </c>
      <c r="J6" s="4">
        <f t="shared" si="0"/>
        <v>261.02</v>
      </c>
      <c r="K6">
        <f t="shared" si="1"/>
        <v>23.491799999999998</v>
      </c>
      <c r="L6">
        <f t="shared" si="2"/>
        <v>23.491799999999998</v>
      </c>
      <c r="M6">
        <f t="shared" si="3"/>
        <v>308</v>
      </c>
    </row>
    <row r="7" spans="1:13" x14ac:dyDescent="0.25">
      <c r="A7" s="4">
        <v>226</v>
      </c>
      <c r="B7" s="3">
        <v>46109</v>
      </c>
      <c r="C7" t="s">
        <v>151</v>
      </c>
      <c r="D7" t="s">
        <v>54</v>
      </c>
      <c r="E7" t="s">
        <v>452</v>
      </c>
      <c r="F7" t="s">
        <v>454</v>
      </c>
      <c r="G7" s="4">
        <v>94054900</v>
      </c>
      <c r="H7">
        <v>10</v>
      </c>
      <c r="I7">
        <v>119.49</v>
      </c>
      <c r="J7" s="4">
        <f t="shared" si="0"/>
        <v>1194.8999999999999</v>
      </c>
      <c r="K7">
        <f t="shared" si="1"/>
        <v>107.54099999999998</v>
      </c>
      <c r="L7">
        <f t="shared" si="2"/>
        <v>107.54099999999998</v>
      </c>
      <c r="M7">
        <f t="shared" si="3"/>
        <v>1410</v>
      </c>
    </row>
    <row r="8" spans="1:13" x14ac:dyDescent="0.25">
      <c r="A8" s="4">
        <v>226</v>
      </c>
      <c r="B8" s="3">
        <v>46109</v>
      </c>
      <c r="C8" t="s">
        <v>151</v>
      </c>
      <c r="D8" t="s">
        <v>64</v>
      </c>
      <c r="E8" t="s">
        <v>452</v>
      </c>
      <c r="F8" t="s">
        <v>454</v>
      </c>
      <c r="G8" s="4">
        <v>94054900</v>
      </c>
      <c r="H8">
        <v>10</v>
      </c>
      <c r="I8">
        <v>161.02000000000001</v>
      </c>
      <c r="J8" s="4">
        <f t="shared" si="0"/>
        <v>1610.2</v>
      </c>
      <c r="K8">
        <f t="shared" si="1"/>
        <v>144.91800000000001</v>
      </c>
      <c r="L8">
        <f t="shared" si="2"/>
        <v>144.91800000000001</v>
      </c>
      <c r="M8">
        <f t="shared" si="3"/>
        <v>1900</v>
      </c>
    </row>
    <row r="9" spans="1:13" x14ac:dyDescent="0.25">
      <c r="A9" s="4">
        <v>226</v>
      </c>
      <c r="B9" s="3">
        <v>46109</v>
      </c>
      <c r="C9" t="s">
        <v>151</v>
      </c>
      <c r="D9" t="s">
        <v>68</v>
      </c>
      <c r="E9" t="s">
        <v>452</v>
      </c>
      <c r="F9" t="s">
        <v>454</v>
      </c>
      <c r="G9" s="4">
        <v>94054900</v>
      </c>
      <c r="H9">
        <v>3</v>
      </c>
      <c r="I9">
        <v>399.15</v>
      </c>
      <c r="J9" s="4">
        <f t="shared" si="0"/>
        <v>1197.4499999999998</v>
      </c>
      <c r="K9">
        <f t="shared" si="1"/>
        <v>107.77049999999998</v>
      </c>
      <c r="L9">
        <f t="shared" si="2"/>
        <v>107.77049999999998</v>
      </c>
      <c r="M9">
        <f t="shared" si="3"/>
        <v>1413</v>
      </c>
    </row>
    <row r="10" spans="1:13" x14ac:dyDescent="0.25">
      <c r="A10" s="4">
        <v>226</v>
      </c>
      <c r="B10" s="3">
        <v>46109</v>
      </c>
      <c r="C10" t="s">
        <v>151</v>
      </c>
      <c r="D10" t="s">
        <v>140</v>
      </c>
      <c r="E10" t="s">
        <v>452</v>
      </c>
      <c r="F10" t="s">
        <v>454</v>
      </c>
      <c r="G10" s="4">
        <v>94054900</v>
      </c>
      <c r="H10">
        <v>10</v>
      </c>
      <c r="I10">
        <v>114.41</v>
      </c>
      <c r="J10" s="4">
        <f t="shared" si="0"/>
        <v>1144.0999999999999</v>
      </c>
      <c r="K10">
        <f t="shared" si="1"/>
        <v>102.96899999999999</v>
      </c>
      <c r="L10">
        <f t="shared" si="2"/>
        <v>102.96899999999999</v>
      </c>
      <c r="M10">
        <f t="shared" si="3"/>
        <v>1350</v>
      </c>
    </row>
    <row r="11" spans="1:13" x14ac:dyDescent="0.25">
      <c r="A11" s="4">
        <v>226</v>
      </c>
      <c r="B11" s="3">
        <v>46109</v>
      </c>
      <c r="C11" t="s">
        <v>151</v>
      </c>
      <c r="D11" t="s">
        <v>44</v>
      </c>
      <c r="E11" t="s">
        <v>452</v>
      </c>
      <c r="F11" t="s">
        <v>454</v>
      </c>
      <c r="G11" s="4">
        <v>94054900</v>
      </c>
      <c r="H11">
        <v>5</v>
      </c>
      <c r="I11">
        <v>161.02000000000001</v>
      </c>
      <c r="J11" s="4">
        <f t="shared" si="0"/>
        <v>805.1</v>
      </c>
      <c r="K11">
        <f t="shared" si="1"/>
        <v>72.459000000000003</v>
      </c>
      <c r="L11">
        <f t="shared" si="2"/>
        <v>72.459000000000003</v>
      </c>
      <c r="M11">
        <f t="shared" si="3"/>
        <v>950</v>
      </c>
    </row>
    <row r="12" spans="1:13" x14ac:dyDescent="0.25">
      <c r="A12" s="4">
        <v>226</v>
      </c>
      <c r="B12" s="3">
        <v>46109</v>
      </c>
      <c r="C12" t="s">
        <v>151</v>
      </c>
      <c r="D12" t="s">
        <v>55</v>
      </c>
      <c r="E12" t="s">
        <v>452</v>
      </c>
      <c r="F12" t="s">
        <v>454</v>
      </c>
      <c r="G12" s="4">
        <v>94054900</v>
      </c>
      <c r="H12">
        <v>3</v>
      </c>
      <c r="I12">
        <v>803.39</v>
      </c>
      <c r="J12" s="4">
        <f t="shared" si="0"/>
        <v>2410.17</v>
      </c>
      <c r="K12">
        <f t="shared" si="1"/>
        <v>216.9153</v>
      </c>
      <c r="L12">
        <f t="shared" si="2"/>
        <v>216.9153</v>
      </c>
      <c r="M12">
        <f t="shared" si="3"/>
        <v>2844</v>
      </c>
    </row>
    <row r="13" spans="1:13" x14ac:dyDescent="0.25">
      <c r="A13" s="4">
        <v>226</v>
      </c>
      <c r="B13" s="3">
        <v>46109</v>
      </c>
      <c r="C13" t="s">
        <v>151</v>
      </c>
      <c r="D13" t="s">
        <v>32</v>
      </c>
      <c r="E13" t="s">
        <v>452</v>
      </c>
      <c r="F13" t="s">
        <v>454</v>
      </c>
      <c r="G13" s="4">
        <v>94054900</v>
      </c>
      <c r="H13">
        <v>3</v>
      </c>
      <c r="I13">
        <v>492.37</v>
      </c>
      <c r="J13" s="4">
        <f t="shared" si="0"/>
        <v>1477.1100000000001</v>
      </c>
      <c r="K13">
        <f t="shared" si="1"/>
        <v>132.93989999999999</v>
      </c>
      <c r="L13">
        <f t="shared" si="2"/>
        <v>132.93989999999999</v>
      </c>
      <c r="M13">
        <f t="shared" si="3"/>
        <v>1743</v>
      </c>
    </row>
    <row r="14" spans="1:13" x14ac:dyDescent="0.25">
      <c r="A14" s="4">
        <v>226</v>
      </c>
      <c r="B14" s="3">
        <v>46109</v>
      </c>
      <c r="C14" t="s">
        <v>151</v>
      </c>
      <c r="D14" t="s">
        <v>157</v>
      </c>
      <c r="E14" t="s">
        <v>452</v>
      </c>
      <c r="F14" t="s">
        <v>454</v>
      </c>
      <c r="G14" s="4">
        <v>94054900</v>
      </c>
      <c r="H14">
        <v>5</v>
      </c>
      <c r="I14">
        <v>289.83</v>
      </c>
      <c r="J14" s="4">
        <f t="shared" si="0"/>
        <v>1449.1499999999999</v>
      </c>
      <c r="K14">
        <f t="shared" si="1"/>
        <v>130.42349999999999</v>
      </c>
      <c r="L14">
        <f t="shared" si="2"/>
        <v>130.42349999999999</v>
      </c>
      <c r="M14">
        <f t="shared" si="3"/>
        <v>1710</v>
      </c>
    </row>
    <row r="15" spans="1:13" x14ac:dyDescent="0.25">
      <c r="A15" s="4">
        <v>226</v>
      </c>
      <c r="B15" s="3">
        <v>46109</v>
      </c>
      <c r="C15" t="s">
        <v>151</v>
      </c>
      <c r="D15" t="s">
        <v>74</v>
      </c>
      <c r="E15" t="s">
        <v>452</v>
      </c>
      <c r="F15" t="s">
        <v>454</v>
      </c>
      <c r="G15" s="4">
        <v>94054900</v>
      </c>
      <c r="H15">
        <v>30</v>
      </c>
      <c r="I15">
        <v>106.78</v>
      </c>
      <c r="J15" s="4">
        <f t="shared" si="0"/>
        <v>3203.4</v>
      </c>
      <c r="K15">
        <f t="shared" si="1"/>
        <v>288.30599999999998</v>
      </c>
      <c r="L15">
        <f t="shared" si="2"/>
        <v>288.30599999999998</v>
      </c>
      <c r="M15">
        <f t="shared" si="3"/>
        <v>3780</v>
      </c>
    </row>
    <row r="16" spans="1:13" x14ac:dyDescent="0.25">
      <c r="A16" s="4">
        <v>224</v>
      </c>
      <c r="B16" s="3">
        <v>46108</v>
      </c>
      <c r="C16" t="s">
        <v>154</v>
      </c>
      <c r="D16" t="s">
        <v>158</v>
      </c>
      <c r="E16" t="s">
        <v>452</v>
      </c>
      <c r="F16" t="s">
        <v>454</v>
      </c>
      <c r="G16" s="4">
        <v>94054900</v>
      </c>
      <c r="H16">
        <v>10</v>
      </c>
      <c r="I16">
        <v>205.08</v>
      </c>
      <c r="J16" s="4">
        <f t="shared" si="0"/>
        <v>2050.8000000000002</v>
      </c>
      <c r="K16">
        <f t="shared" si="1"/>
        <v>184.572</v>
      </c>
      <c r="L16">
        <f t="shared" si="2"/>
        <v>184.572</v>
      </c>
      <c r="M16">
        <f t="shared" si="3"/>
        <v>2419.9</v>
      </c>
    </row>
    <row r="17" spans="1:13" x14ac:dyDescent="0.25">
      <c r="A17" s="4">
        <v>1192</v>
      </c>
      <c r="B17" s="3">
        <v>46106</v>
      </c>
      <c r="C17" t="s">
        <v>129</v>
      </c>
      <c r="D17" t="s">
        <v>122</v>
      </c>
      <c r="E17" t="s">
        <v>452</v>
      </c>
      <c r="F17" t="s">
        <v>454</v>
      </c>
      <c r="G17" s="4">
        <v>94054900</v>
      </c>
      <c r="H17">
        <v>10</v>
      </c>
      <c r="I17">
        <v>132.19999999999999</v>
      </c>
      <c r="J17" s="4">
        <f t="shared" si="0"/>
        <v>1322</v>
      </c>
      <c r="K17">
        <f t="shared" si="1"/>
        <v>118.97999999999999</v>
      </c>
      <c r="L17">
        <f t="shared" si="2"/>
        <v>118.97999999999999</v>
      </c>
      <c r="M17">
        <f t="shared" si="3"/>
        <v>1560</v>
      </c>
    </row>
    <row r="18" spans="1:13" x14ac:dyDescent="0.25">
      <c r="A18" s="4">
        <v>225</v>
      </c>
      <c r="B18" s="3">
        <v>46106</v>
      </c>
      <c r="C18" t="s">
        <v>38</v>
      </c>
      <c r="D18" t="s">
        <v>14</v>
      </c>
      <c r="E18" t="s">
        <v>452</v>
      </c>
      <c r="F18" t="s">
        <v>454</v>
      </c>
      <c r="G18" s="4">
        <v>94054900</v>
      </c>
      <c r="H18">
        <v>20</v>
      </c>
      <c r="I18">
        <v>63.56</v>
      </c>
      <c r="J18" s="4">
        <f t="shared" si="0"/>
        <v>1271.2</v>
      </c>
      <c r="K18">
        <f t="shared" si="1"/>
        <v>114.408</v>
      </c>
      <c r="L18">
        <f t="shared" si="2"/>
        <v>114.408</v>
      </c>
      <c r="M18">
        <f t="shared" si="3"/>
        <v>1500</v>
      </c>
    </row>
    <row r="19" spans="1:13" x14ac:dyDescent="0.25">
      <c r="A19" s="4">
        <v>225</v>
      </c>
      <c r="B19" s="3">
        <v>46106</v>
      </c>
      <c r="C19" t="s">
        <v>38</v>
      </c>
      <c r="D19" t="s">
        <v>140</v>
      </c>
      <c r="E19" t="s">
        <v>452</v>
      </c>
      <c r="F19" t="s">
        <v>454</v>
      </c>
      <c r="G19" s="4">
        <v>94054900</v>
      </c>
      <c r="H19">
        <v>20</v>
      </c>
      <c r="I19">
        <v>114.41</v>
      </c>
      <c r="J19" s="4">
        <f t="shared" si="0"/>
        <v>2288.1999999999998</v>
      </c>
      <c r="K19">
        <f t="shared" si="1"/>
        <v>205.93799999999999</v>
      </c>
      <c r="L19">
        <f t="shared" si="2"/>
        <v>205.93799999999999</v>
      </c>
      <c r="M19">
        <f t="shared" si="3"/>
        <v>2700.1</v>
      </c>
    </row>
    <row r="20" spans="1:13" x14ac:dyDescent="0.25">
      <c r="A20" s="4">
        <v>225</v>
      </c>
      <c r="B20" s="3">
        <v>46106</v>
      </c>
      <c r="C20" t="s">
        <v>38</v>
      </c>
      <c r="D20" t="s">
        <v>159</v>
      </c>
      <c r="E20" t="s">
        <v>452</v>
      </c>
      <c r="F20" t="s">
        <v>454</v>
      </c>
      <c r="G20" s="4">
        <v>94054900</v>
      </c>
      <c r="H20">
        <v>12</v>
      </c>
      <c r="I20">
        <v>21.19</v>
      </c>
      <c r="J20" s="4">
        <f t="shared" si="0"/>
        <v>254.28000000000003</v>
      </c>
      <c r="K20">
        <f t="shared" si="1"/>
        <v>22.885200000000001</v>
      </c>
      <c r="L20">
        <f t="shared" si="2"/>
        <v>22.885200000000001</v>
      </c>
      <c r="M20">
        <f t="shared" si="3"/>
        <v>300.10000000000002</v>
      </c>
    </row>
    <row r="21" spans="1:13" x14ac:dyDescent="0.25">
      <c r="A21" s="4">
        <v>225</v>
      </c>
      <c r="B21" s="3">
        <v>46106</v>
      </c>
      <c r="C21" t="s">
        <v>38</v>
      </c>
      <c r="D21" t="s">
        <v>160</v>
      </c>
      <c r="E21" t="s">
        <v>452</v>
      </c>
      <c r="F21" t="s">
        <v>454</v>
      </c>
      <c r="G21" s="4">
        <v>94054900</v>
      </c>
      <c r="H21">
        <v>12</v>
      </c>
      <c r="I21">
        <v>21.19</v>
      </c>
      <c r="J21" s="4">
        <f t="shared" si="0"/>
        <v>254.28000000000003</v>
      </c>
      <c r="K21">
        <f t="shared" si="1"/>
        <v>22.885200000000001</v>
      </c>
      <c r="L21">
        <f t="shared" si="2"/>
        <v>22.885200000000001</v>
      </c>
      <c r="M21">
        <f t="shared" si="3"/>
        <v>300.10000000000002</v>
      </c>
    </row>
    <row r="22" spans="1:13" x14ac:dyDescent="0.25">
      <c r="A22" s="4">
        <v>225</v>
      </c>
      <c r="B22" s="3">
        <v>46106</v>
      </c>
      <c r="C22" t="s">
        <v>38</v>
      </c>
      <c r="D22" t="s">
        <v>161</v>
      </c>
      <c r="E22" t="s">
        <v>452</v>
      </c>
      <c r="F22" t="s">
        <v>454</v>
      </c>
      <c r="G22" s="4">
        <v>94054900</v>
      </c>
      <c r="H22">
        <v>12</v>
      </c>
      <c r="I22">
        <v>21.19</v>
      </c>
      <c r="J22" s="4">
        <f t="shared" si="0"/>
        <v>254.28000000000003</v>
      </c>
      <c r="K22">
        <f t="shared" si="1"/>
        <v>22.885200000000001</v>
      </c>
      <c r="L22">
        <f t="shared" si="2"/>
        <v>22.885200000000001</v>
      </c>
      <c r="M22">
        <f t="shared" si="3"/>
        <v>300.10000000000002</v>
      </c>
    </row>
    <row r="23" spans="1:13" x14ac:dyDescent="0.25">
      <c r="A23" s="4">
        <v>225</v>
      </c>
      <c r="B23" s="3">
        <v>46106</v>
      </c>
      <c r="C23" t="s">
        <v>38</v>
      </c>
      <c r="D23" t="s">
        <v>162</v>
      </c>
      <c r="E23" t="s">
        <v>452</v>
      </c>
      <c r="F23" t="s">
        <v>454</v>
      </c>
      <c r="G23" s="4">
        <v>94054900</v>
      </c>
      <c r="H23">
        <v>12</v>
      </c>
      <c r="I23">
        <v>21.19</v>
      </c>
      <c r="J23" s="4">
        <f t="shared" si="0"/>
        <v>254.28000000000003</v>
      </c>
      <c r="K23">
        <f t="shared" si="1"/>
        <v>22.885200000000001</v>
      </c>
      <c r="L23">
        <f t="shared" si="2"/>
        <v>22.885200000000001</v>
      </c>
      <c r="M23">
        <f t="shared" si="3"/>
        <v>300.10000000000002</v>
      </c>
    </row>
    <row r="24" spans="1:13" x14ac:dyDescent="0.25">
      <c r="A24" s="4">
        <v>225</v>
      </c>
      <c r="B24" s="3">
        <v>46106</v>
      </c>
      <c r="C24" t="s">
        <v>38</v>
      </c>
      <c r="D24" t="s">
        <v>163</v>
      </c>
      <c r="E24" t="s">
        <v>452</v>
      </c>
      <c r="F24" t="s">
        <v>454</v>
      </c>
      <c r="G24" s="4">
        <v>94054900</v>
      </c>
      <c r="H24">
        <v>12</v>
      </c>
      <c r="I24">
        <v>21.19</v>
      </c>
      <c r="J24" s="4">
        <f t="shared" si="0"/>
        <v>254.28000000000003</v>
      </c>
      <c r="K24">
        <f t="shared" si="1"/>
        <v>22.885200000000001</v>
      </c>
      <c r="L24">
        <f t="shared" si="2"/>
        <v>22.885200000000001</v>
      </c>
      <c r="M24">
        <f t="shared" si="3"/>
        <v>300.10000000000002</v>
      </c>
    </row>
    <row r="25" spans="1:13" x14ac:dyDescent="0.25">
      <c r="A25" s="4">
        <v>225</v>
      </c>
      <c r="B25" s="3">
        <v>46106</v>
      </c>
      <c r="C25" t="s">
        <v>38</v>
      </c>
      <c r="D25" t="s">
        <v>35</v>
      </c>
      <c r="E25" t="s">
        <v>452</v>
      </c>
      <c r="F25" t="s">
        <v>454</v>
      </c>
      <c r="G25" s="4">
        <v>94054900</v>
      </c>
      <c r="H25">
        <v>99</v>
      </c>
      <c r="I25">
        <v>23.73</v>
      </c>
      <c r="J25" s="4">
        <f t="shared" si="0"/>
        <v>2349.27</v>
      </c>
      <c r="K25">
        <f t="shared" si="1"/>
        <v>211.43429999999998</v>
      </c>
      <c r="L25">
        <f t="shared" si="2"/>
        <v>211.43429999999998</v>
      </c>
      <c r="M25">
        <f t="shared" si="3"/>
        <v>2772.1</v>
      </c>
    </row>
    <row r="26" spans="1:13" x14ac:dyDescent="0.25">
      <c r="A26" s="4">
        <v>225</v>
      </c>
      <c r="B26" s="3">
        <v>46106</v>
      </c>
      <c r="C26" t="s">
        <v>38</v>
      </c>
      <c r="D26" t="s">
        <v>35</v>
      </c>
      <c r="E26" t="s">
        <v>452</v>
      </c>
      <c r="F26" t="s">
        <v>454</v>
      </c>
      <c r="G26" s="4">
        <v>94054900</v>
      </c>
      <c r="H26">
        <v>1</v>
      </c>
      <c r="I26">
        <v>0</v>
      </c>
      <c r="J26" s="4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x14ac:dyDescent="0.25">
      <c r="A27" s="4">
        <v>225</v>
      </c>
      <c r="B27" s="3">
        <v>46106</v>
      </c>
      <c r="C27" t="s">
        <v>38</v>
      </c>
      <c r="D27" t="s">
        <v>74</v>
      </c>
      <c r="E27" t="s">
        <v>452</v>
      </c>
      <c r="F27" t="s">
        <v>454</v>
      </c>
      <c r="G27" s="4">
        <v>94054900</v>
      </c>
      <c r="H27">
        <v>30</v>
      </c>
      <c r="I27">
        <v>106.78</v>
      </c>
      <c r="J27" s="4">
        <f t="shared" si="0"/>
        <v>3203.4</v>
      </c>
      <c r="K27">
        <f t="shared" si="1"/>
        <v>288.30599999999998</v>
      </c>
      <c r="L27">
        <f t="shared" si="2"/>
        <v>288.30599999999998</v>
      </c>
      <c r="M27">
        <f t="shared" si="3"/>
        <v>3780</v>
      </c>
    </row>
    <row r="28" spans="1:13" x14ac:dyDescent="0.25">
      <c r="A28" s="4">
        <v>225</v>
      </c>
      <c r="B28" s="3">
        <v>46106</v>
      </c>
      <c r="C28" t="s">
        <v>38</v>
      </c>
      <c r="D28" t="s">
        <v>164</v>
      </c>
      <c r="E28" t="s">
        <v>452</v>
      </c>
      <c r="F28" t="s">
        <v>454</v>
      </c>
      <c r="G28" s="4">
        <v>94054900</v>
      </c>
      <c r="H28">
        <v>10</v>
      </c>
      <c r="I28">
        <v>355.93</v>
      </c>
      <c r="J28" s="4">
        <f t="shared" si="0"/>
        <v>3559.3</v>
      </c>
      <c r="K28">
        <f t="shared" si="1"/>
        <v>320.33699999999999</v>
      </c>
      <c r="L28">
        <f t="shared" si="2"/>
        <v>320.33699999999999</v>
      </c>
      <c r="M28">
        <f t="shared" si="3"/>
        <v>4200</v>
      </c>
    </row>
    <row r="29" spans="1:13" x14ac:dyDescent="0.25">
      <c r="A29" s="4">
        <v>225</v>
      </c>
      <c r="B29" s="3">
        <v>46106</v>
      </c>
      <c r="C29" t="s">
        <v>38</v>
      </c>
      <c r="D29" t="s">
        <v>18</v>
      </c>
      <c r="E29" t="s">
        <v>452</v>
      </c>
      <c r="F29" t="s">
        <v>454</v>
      </c>
      <c r="G29" s="4">
        <v>94054900</v>
      </c>
      <c r="H29">
        <v>1</v>
      </c>
      <c r="I29">
        <v>0</v>
      </c>
      <c r="J29" s="4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x14ac:dyDescent="0.25">
      <c r="A30" s="4">
        <v>222</v>
      </c>
      <c r="B30" s="3">
        <v>46105</v>
      </c>
      <c r="C30" t="s">
        <v>153</v>
      </c>
      <c r="D30" t="s">
        <v>47</v>
      </c>
      <c r="E30" t="s">
        <v>452</v>
      </c>
      <c r="F30" t="s">
        <v>454</v>
      </c>
      <c r="G30" s="4">
        <v>94054900</v>
      </c>
      <c r="H30">
        <v>6</v>
      </c>
      <c r="I30">
        <v>186.44</v>
      </c>
      <c r="J30" s="4">
        <f t="shared" si="0"/>
        <v>1118.6399999999999</v>
      </c>
      <c r="K30">
        <f t="shared" si="1"/>
        <v>100.67759999999998</v>
      </c>
      <c r="L30">
        <f t="shared" si="2"/>
        <v>100.67759999999998</v>
      </c>
      <c r="M30">
        <f t="shared" si="3"/>
        <v>1320</v>
      </c>
    </row>
    <row r="31" spans="1:13" x14ac:dyDescent="0.25">
      <c r="A31" s="4">
        <v>222</v>
      </c>
      <c r="B31" s="3">
        <v>46105</v>
      </c>
      <c r="C31" t="s">
        <v>153</v>
      </c>
      <c r="D31" t="s">
        <v>13</v>
      </c>
      <c r="E31" t="s">
        <v>452</v>
      </c>
      <c r="F31" t="s">
        <v>454</v>
      </c>
      <c r="G31" s="4">
        <v>94054900</v>
      </c>
      <c r="H31">
        <v>20</v>
      </c>
      <c r="I31">
        <v>80.510000000000005</v>
      </c>
      <c r="J31" s="4">
        <f t="shared" si="0"/>
        <v>1610.2</v>
      </c>
      <c r="K31">
        <f t="shared" si="1"/>
        <v>144.91800000000001</v>
      </c>
      <c r="L31">
        <f t="shared" si="2"/>
        <v>144.91800000000001</v>
      </c>
      <c r="M31">
        <f t="shared" si="3"/>
        <v>1900</v>
      </c>
    </row>
    <row r="32" spans="1:13" x14ac:dyDescent="0.25">
      <c r="A32" s="4">
        <v>1188</v>
      </c>
      <c r="B32" s="3">
        <v>46103</v>
      </c>
      <c r="C32" t="s">
        <v>65</v>
      </c>
      <c r="D32" t="s">
        <v>142</v>
      </c>
      <c r="E32" t="s">
        <v>452</v>
      </c>
      <c r="F32" t="s">
        <v>453</v>
      </c>
      <c r="G32" s="4">
        <v>84145120</v>
      </c>
      <c r="H32" s="4">
        <v>3</v>
      </c>
      <c r="I32" s="4">
        <v>2004.23</v>
      </c>
      <c r="J32" s="4">
        <f t="shared" si="0"/>
        <v>6012.6900000000005</v>
      </c>
      <c r="K32">
        <f t="shared" si="1"/>
        <v>541.14210000000003</v>
      </c>
      <c r="L32">
        <f t="shared" si="2"/>
        <v>541.14210000000003</v>
      </c>
      <c r="M32">
        <f t="shared" si="3"/>
        <v>7095</v>
      </c>
    </row>
    <row r="33" spans="1:13" x14ac:dyDescent="0.25">
      <c r="A33" s="4">
        <v>1188</v>
      </c>
      <c r="B33" s="3">
        <v>46103</v>
      </c>
      <c r="C33" t="s">
        <v>65</v>
      </c>
      <c r="D33" t="s">
        <v>143</v>
      </c>
      <c r="E33" t="s">
        <v>452</v>
      </c>
      <c r="F33" t="s">
        <v>453</v>
      </c>
      <c r="G33" s="4">
        <v>84145120</v>
      </c>
      <c r="H33" s="4">
        <v>1</v>
      </c>
      <c r="I33" s="4">
        <v>2004.23</v>
      </c>
      <c r="J33" s="4">
        <f t="shared" si="0"/>
        <v>2004.23</v>
      </c>
      <c r="K33">
        <f t="shared" si="1"/>
        <v>180.38069999999999</v>
      </c>
      <c r="L33">
        <f t="shared" si="2"/>
        <v>180.38069999999999</v>
      </c>
      <c r="M33">
        <f t="shared" si="3"/>
        <v>2365</v>
      </c>
    </row>
    <row r="34" spans="1:13" x14ac:dyDescent="0.25">
      <c r="A34" s="4">
        <v>1191</v>
      </c>
      <c r="B34" s="3">
        <v>46103</v>
      </c>
      <c r="C34" t="s">
        <v>115</v>
      </c>
      <c r="D34" t="s">
        <v>57</v>
      </c>
      <c r="E34" t="s">
        <v>452</v>
      </c>
      <c r="F34" t="s">
        <v>454</v>
      </c>
      <c r="G34" s="4">
        <v>94054900</v>
      </c>
      <c r="H34">
        <v>40</v>
      </c>
      <c r="I34">
        <v>150</v>
      </c>
      <c r="J34" s="4">
        <f t="shared" si="0"/>
        <v>6000</v>
      </c>
      <c r="K34">
        <f t="shared" si="1"/>
        <v>540</v>
      </c>
      <c r="L34">
        <f t="shared" si="2"/>
        <v>540</v>
      </c>
      <c r="M34">
        <f t="shared" si="3"/>
        <v>7080</v>
      </c>
    </row>
    <row r="35" spans="1:13" x14ac:dyDescent="0.25">
      <c r="A35" s="4">
        <v>1191</v>
      </c>
      <c r="B35" s="3">
        <v>46103</v>
      </c>
      <c r="C35" t="s">
        <v>115</v>
      </c>
      <c r="D35" t="s">
        <v>144</v>
      </c>
      <c r="E35" t="s">
        <v>452</v>
      </c>
      <c r="F35" t="s">
        <v>454</v>
      </c>
      <c r="G35" s="4">
        <v>94054900</v>
      </c>
      <c r="H35">
        <v>20</v>
      </c>
      <c r="I35">
        <v>150</v>
      </c>
      <c r="J35" s="4">
        <f t="shared" si="0"/>
        <v>3000</v>
      </c>
      <c r="K35">
        <f t="shared" si="1"/>
        <v>270</v>
      </c>
      <c r="L35">
        <f t="shared" si="2"/>
        <v>270</v>
      </c>
      <c r="M35">
        <f t="shared" si="3"/>
        <v>3540</v>
      </c>
    </row>
    <row r="36" spans="1:13" x14ac:dyDescent="0.25">
      <c r="A36" s="4">
        <v>1191</v>
      </c>
      <c r="B36" s="3">
        <v>46103</v>
      </c>
      <c r="C36" t="s">
        <v>115</v>
      </c>
      <c r="D36" t="s">
        <v>58</v>
      </c>
      <c r="E36" t="s">
        <v>452</v>
      </c>
      <c r="F36" t="s">
        <v>454</v>
      </c>
      <c r="G36" s="4">
        <v>94054900</v>
      </c>
      <c r="H36">
        <v>40</v>
      </c>
      <c r="I36">
        <v>169.49</v>
      </c>
      <c r="J36" s="4">
        <f t="shared" si="0"/>
        <v>6779.6</v>
      </c>
      <c r="K36">
        <f t="shared" si="1"/>
        <v>610.16399999999999</v>
      </c>
      <c r="L36">
        <f t="shared" si="2"/>
        <v>610.16399999999999</v>
      </c>
      <c r="M36">
        <f t="shared" si="3"/>
        <v>7999.9</v>
      </c>
    </row>
    <row r="37" spans="1:13" x14ac:dyDescent="0.25">
      <c r="A37" s="4">
        <v>1191</v>
      </c>
      <c r="B37" s="3">
        <v>46103</v>
      </c>
      <c r="C37" t="s">
        <v>115</v>
      </c>
      <c r="D37" t="s">
        <v>128</v>
      </c>
      <c r="E37" t="s">
        <v>452</v>
      </c>
      <c r="F37" t="s">
        <v>454</v>
      </c>
      <c r="G37" s="4">
        <v>94054900</v>
      </c>
      <c r="H37">
        <v>20</v>
      </c>
      <c r="I37">
        <v>169.49</v>
      </c>
      <c r="J37" s="4">
        <f t="shared" si="0"/>
        <v>3389.8</v>
      </c>
      <c r="K37">
        <f t="shared" si="1"/>
        <v>305.08199999999999</v>
      </c>
      <c r="L37">
        <f t="shared" si="2"/>
        <v>305.08199999999999</v>
      </c>
      <c r="M37">
        <f t="shared" si="3"/>
        <v>4000</v>
      </c>
    </row>
    <row r="38" spans="1:13" x14ac:dyDescent="0.25">
      <c r="A38" s="4">
        <v>221</v>
      </c>
      <c r="B38" s="3">
        <v>46103</v>
      </c>
      <c r="C38" t="s">
        <v>154</v>
      </c>
      <c r="D38" t="s">
        <v>27</v>
      </c>
      <c r="E38" t="s">
        <v>452</v>
      </c>
      <c r="F38" t="s">
        <v>454</v>
      </c>
      <c r="G38" s="4">
        <v>94054900</v>
      </c>
      <c r="H38">
        <v>5</v>
      </c>
      <c r="I38">
        <v>207.63</v>
      </c>
      <c r="J38" s="4">
        <f t="shared" si="0"/>
        <v>1038.1500000000001</v>
      </c>
      <c r="K38">
        <f t="shared" si="1"/>
        <v>93.433500000000009</v>
      </c>
      <c r="L38">
        <f t="shared" si="2"/>
        <v>93.433500000000009</v>
      </c>
      <c r="M38">
        <f t="shared" si="3"/>
        <v>1225</v>
      </c>
    </row>
    <row r="39" spans="1:13" x14ac:dyDescent="0.25">
      <c r="A39" s="4">
        <v>221</v>
      </c>
      <c r="B39" s="3">
        <v>46103</v>
      </c>
      <c r="C39" t="s">
        <v>154</v>
      </c>
      <c r="D39" t="s">
        <v>157</v>
      </c>
      <c r="E39" t="s">
        <v>452</v>
      </c>
      <c r="F39" t="s">
        <v>454</v>
      </c>
      <c r="G39" s="4">
        <v>94054900</v>
      </c>
      <c r="H39">
        <v>5</v>
      </c>
      <c r="I39">
        <v>289.83</v>
      </c>
      <c r="J39" s="4">
        <f t="shared" si="0"/>
        <v>1449.1499999999999</v>
      </c>
      <c r="K39">
        <f t="shared" si="1"/>
        <v>130.42349999999999</v>
      </c>
      <c r="L39">
        <f t="shared" si="2"/>
        <v>130.42349999999999</v>
      </c>
      <c r="M39">
        <f t="shared" si="3"/>
        <v>1710</v>
      </c>
    </row>
    <row r="40" spans="1:13" x14ac:dyDescent="0.25">
      <c r="A40" s="4">
        <v>219</v>
      </c>
      <c r="B40" s="3">
        <v>46102</v>
      </c>
      <c r="C40" t="s">
        <v>154</v>
      </c>
      <c r="D40" t="s">
        <v>47</v>
      </c>
      <c r="E40" t="s">
        <v>452</v>
      </c>
      <c r="F40" t="s">
        <v>454</v>
      </c>
      <c r="G40" s="4">
        <v>94054900</v>
      </c>
      <c r="H40">
        <v>7</v>
      </c>
      <c r="I40">
        <v>183.9</v>
      </c>
      <c r="J40" s="4">
        <f t="shared" si="0"/>
        <v>1287.3</v>
      </c>
      <c r="K40">
        <f t="shared" si="1"/>
        <v>115.85699999999999</v>
      </c>
      <c r="L40">
        <f t="shared" si="2"/>
        <v>115.85699999999999</v>
      </c>
      <c r="M40">
        <f t="shared" si="3"/>
        <v>1519</v>
      </c>
    </row>
    <row r="41" spans="1:13" x14ac:dyDescent="0.25">
      <c r="A41" s="4">
        <v>217</v>
      </c>
      <c r="B41" s="3">
        <v>46101</v>
      </c>
      <c r="C41" t="s">
        <v>22</v>
      </c>
      <c r="D41" t="s">
        <v>47</v>
      </c>
      <c r="E41" t="s">
        <v>452</v>
      </c>
      <c r="F41" t="s">
        <v>454</v>
      </c>
      <c r="G41" s="4">
        <v>94054900</v>
      </c>
      <c r="H41">
        <v>10</v>
      </c>
      <c r="I41">
        <v>183.9</v>
      </c>
      <c r="J41" s="4">
        <f t="shared" si="0"/>
        <v>1839</v>
      </c>
      <c r="K41">
        <f t="shared" si="1"/>
        <v>165.51</v>
      </c>
      <c r="L41">
        <f t="shared" si="2"/>
        <v>165.51</v>
      </c>
      <c r="M41">
        <f t="shared" si="3"/>
        <v>2170</v>
      </c>
    </row>
    <row r="42" spans="1:13" x14ac:dyDescent="0.25">
      <c r="A42" s="4">
        <v>218</v>
      </c>
      <c r="B42" s="3">
        <v>46101</v>
      </c>
      <c r="C42" t="s">
        <v>17</v>
      </c>
      <c r="D42" t="s">
        <v>36</v>
      </c>
      <c r="E42" t="s">
        <v>452</v>
      </c>
      <c r="F42" t="s">
        <v>454</v>
      </c>
      <c r="G42" s="4">
        <v>94054900</v>
      </c>
      <c r="H42">
        <v>5</v>
      </c>
      <c r="I42">
        <v>322.02999999999997</v>
      </c>
      <c r="J42" s="4">
        <f t="shared" si="0"/>
        <v>1610.1499999999999</v>
      </c>
      <c r="K42">
        <f t="shared" si="1"/>
        <v>144.91349999999997</v>
      </c>
      <c r="L42">
        <f t="shared" si="2"/>
        <v>144.91349999999997</v>
      </c>
      <c r="M42">
        <f t="shared" si="3"/>
        <v>1900</v>
      </c>
    </row>
    <row r="43" spans="1:13" x14ac:dyDescent="0.25">
      <c r="A43" s="4">
        <v>218</v>
      </c>
      <c r="B43" s="3">
        <v>46101</v>
      </c>
      <c r="C43" t="s">
        <v>17</v>
      </c>
      <c r="D43" t="s">
        <v>18</v>
      </c>
      <c r="E43" t="s">
        <v>452</v>
      </c>
      <c r="F43" t="s">
        <v>454</v>
      </c>
      <c r="G43" s="4">
        <v>94054900</v>
      </c>
      <c r="H43">
        <v>5</v>
      </c>
      <c r="I43">
        <v>268.64</v>
      </c>
      <c r="J43" s="4">
        <f t="shared" si="0"/>
        <v>1343.1999999999998</v>
      </c>
      <c r="K43">
        <f t="shared" si="1"/>
        <v>120.88799999999998</v>
      </c>
      <c r="L43">
        <f t="shared" si="2"/>
        <v>120.88799999999998</v>
      </c>
      <c r="M43">
        <f t="shared" si="3"/>
        <v>1585</v>
      </c>
    </row>
    <row r="44" spans="1:13" x14ac:dyDescent="0.25">
      <c r="A44" s="4">
        <v>1187</v>
      </c>
      <c r="B44" s="3">
        <v>46100</v>
      </c>
      <c r="C44" t="s">
        <v>114</v>
      </c>
      <c r="D44" t="s">
        <v>47</v>
      </c>
      <c r="E44" t="s">
        <v>452</v>
      </c>
      <c r="F44" t="s">
        <v>454</v>
      </c>
      <c r="G44" s="4">
        <v>94054900</v>
      </c>
      <c r="H44" s="4">
        <v>13</v>
      </c>
      <c r="I44" s="4">
        <v>173.73</v>
      </c>
      <c r="J44" s="4">
        <f t="shared" si="0"/>
        <v>2258.4899999999998</v>
      </c>
      <c r="K44">
        <f t="shared" si="1"/>
        <v>203.26409999999998</v>
      </c>
      <c r="L44">
        <f t="shared" si="2"/>
        <v>203.26409999999998</v>
      </c>
      <c r="M44">
        <f t="shared" si="3"/>
        <v>2665</v>
      </c>
    </row>
    <row r="45" spans="1:13" x14ac:dyDescent="0.25">
      <c r="A45" s="4">
        <v>1186</v>
      </c>
      <c r="B45" s="3">
        <v>46098</v>
      </c>
      <c r="C45" t="s">
        <v>112</v>
      </c>
      <c r="D45" t="s">
        <v>141</v>
      </c>
      <c r="E45" t="s">
        <v>452</v>
      </c>
      <c r="F45" t="s">
        <v>453</v>
      </c>
      <c r="G45" s="4">
        <v>84145120</v>
      </c>
      <c r="H45" s="4">
        <v>12</v>
      </c>
      <c r="I45" s="4">
        <v>1016.95</v>
      </c>
      <c r="J45" s="4">
        <f t="shared" si="0"/>
        <v>12203.400000000001</v>
      </c>
      <c r="K45">
        <f t="shared" si="1"/>
        <v>1098.306</v>
      </c>
      <c r="L45">
        <f t="shared" si="2"/>
        <v>1098.306</v>
      </c>
      <c r="M45">
        <f t="shared" si="3"/>
        <v>14400</v>
      </c>
    </row>
    <row r="46" spans="1:13" x14ac:dyDescent="0.25">
      <c r="A46" s="4">
        <v>1186</v>
      </c>
      <c r="B46" s="3">
        <v>46098</v>
      </c>
      <c r="C46" t="s">
        <v>112</v>
      </c>
      <c r="D46" t="s">
        <v>47</v>
      </c>
      <c r="E46" t="s">
        <v>452</v>
      </c>
      <c r="F46" t="s">
        <v>454</v>
      </c>
      <c r="G46" s="4">
        <v>94054900</v>
      </c>
      <c r="H46" s="4">
        <v>30</v>
      </c>
      <c r="I46" s="4">
        <v>184.74</v>
      </c>
      <c r="J46" s="4">
        <f t="shared" si="0"/>
        <v>5542.2000000000007</v>
      </c>
      <c r="K46">
        <f t="shared" si="1"/>
        <v>498.79800000000006</v>
      </c>
      <c r="L46">
        <f t="shared" si="2"/>
        <v>498.79800000000006</v>
      </c>
      <c r="M46">
        <f t="shared" si="3"/>
        <v>6539.8</v>
      </c>
    </row>
    <row r="47" spans="1:13" x14ac:dyDescent="0.25">
      <c r="A47" s="4">
        <v>213</v>
      </c>
      <c r="B47" s="3">
        <v>46098</v>
      </c>
      <c r="C47" t="s">
        <v>31</v>
      </c>
      <c r="D47" t="s">
        <v>47</v>
      </c>
      <c r="E47" t="s">
        <v>452</v>
      </c>
      <c r="F47" t="s">
        <v>454</v>
      </c>
      <c r="G47" s="4">
        <v>94054900</v>
      </c>
      <c r="H47">
        <v>24</v>
      </c>
      <c r="I47">
        <v>183.9</v>
      </c>
      <c r="J47" s="4">
        <f t="shared" si="0"/>
        <v>4413.6000000000004</v>
      </c>
      <c r="K47">
        <f t="shared" si="1"/>
        <v>397.22400000000005</v>
      </c>
      <c r="L47">
        <f t="shared" si="2"/>
        <v>397.22400000000005</v>
      </c>
      <c r="M47">
        <f t="shared" si="3"/>
        <v>5208</v>
      </c>
    </row>
    <row r="48" spans="1:13" x14ac:dyDescent="0.25">
      <c r="A48" s="4">
        <v>216</v>
      </c>
      <c r="B48" s="3">
        <v>46098</v>
      </c>
      <c r="C48" t="s">
        <v>97</v>
      </c>
      <c r="D48" t="s">
        <v>59</v>
      </c>
      <c r="E48" t="s">
        <v>452</v>
      </c>
      <c r="F48" t="s">
        <v>454</v>
      </c>
      <c r="G48" s="4">
        <v>94054900</v>
      </c>
      <c r="H48" s="4">
        <v>20</v>
      </c>
      <c r="I48" s="4">
        <v>212.71</v>
      </c>
      <c r="J48" s="4">
        <f t="shared" si="0"/>
        <v>4254.2</v>
      </c>
      <c r="K48">
        <f t="shared" si="1"/>
        <v>382.87799999999999</v>
      </c>
      <c r="L48">
        <f t="shared" si="2"/>
        <v>382.87799999999999</v>
      </c>
      <c r="M48">
        <f t="shared" si="3"/>
        <v>5020</v>
      </c>
    </row>
    <row r="49" spans="1:13" x14ac:dyDescent="0.25">
      <c r="A49" s="4">
        <v>216</v>
      </c>
      <c r="B49" s="3">
        <v>46098</v>
      </c>
      <c r="C49" t="s">
        <v>97</v>
      </c>
      <c r="D49" t="s">
        <v>13</v>
      </c>
      <c r="E49" t="s">
        <v>452</v>
      </c>
      <c r="F49" t="s">
        <v>454</v>
      </c>
      <c r="G49" s="4">
        <v>94054900</v>
      </c>
      <c r="H49" s="4">
        <v>40</v>
      </c>
      <c r="I49" s="4">
        <v>76.27</v>
      </c>
      <c r="J49" s="4">
        <f t="shared" si="0"/>
        <v>3050.7999999999997</v>
      </c>
      <c r="K49">
        <f t="shared" si="1"/>
        <v>274.57199999999995</v>
      </c>
      <c r="L49">
        <f t="shared" si="2"/>
        <v>274.57199999999995</v>
      </c>
      <c r="M49">
        <f t="shared" si="3"/>
        <v>3599.9</v>
      </c>
    </row>
    <row r="50" spans="1:13" x14ac:dyDescent="0.25">
      <c r="A50" s="4">
        <v>216</v>
      </c>
      <c r="B50" s="3">
        <v>46098</v>
      </c>
      <c r="C50" t="s">
        <v>97</v>
      </c>
      <c r="D50" t="s">
        <v>156</v>
      </c>
      <c r="E50" t="s">
        <v>452</v>
      </c>
      <c r="F50" t="s">
        <v>454</v>
      </c>
      <c r="G50" s="4">
        <v>94054900</v>
      </c>
      <c r="H50" s="4">
        <v>10</v>
      </c>
      <c r="I50" s="4">
        <v>390.68</v>
      </c>
      <c r="J50" s="4">
        <f t="shared" si="0"/>
        <v>3906.8</v>
      </c>
      <c r="K50">
        <f t="shared" si="1"/>
        <v>351.61200000000002</v>
      </c>
      <c r="L50">
        <f t="shared" si="2"/>
        <v>351.61200000000002</v>
      </c>
      <c r="M50">
        <f t="shared" si="3"/>
        <v>4610</v>
      </c>
    </row>
    <row r="51" spans="1:13" x14ac:dyDescent="0.25">
      <c r="A51" s="4">
        <v>1182</v>
      </c>
      <c r="B51" s="3">
        <v>46097</v>
      </c>
      <c r="C51" t="s">
        <v>114</v>
      </c>
      <c r="D51" t="s">
        <v>24</v>
      </c>
      <c r="E51" t="s">
        <v>452</v>
      </c>
      <c r="F51" t="s">
        <v>454</v>
      </c>
      <c r="G51" s="4">
        <v>94054900</v>
      </c>
      <c r="H51">
        <v>20</v>
      </c>
      <c r="I51">
        <v>220.34</v>
      </c>
      <c r="J51" s="4">
        <f t="shared" si="0"/>
        <v>4406.8</v>
      </c>
      <c r="K51">
        <f t="shared" si="1"/>
        <v>396.61200000000002</v>
      </c>
      <c r="L51">
        <f t="shared" si="2"/>
        <v>396.61200000000002</v>
      </c>
      <c r="M51">
        <f t="shared" si="3"/>
        <v>5200</v>
      </c>
    </row>
    <row r="52" spans="1:13" x14ac:dyDescent="0.25">
      <c r="A52" s="4">
        <v>1182</v>
      </c>
      <c r="B52" s="3">
        <v>46097</v>
      </c>
      <c r="C52" t="s">
        <v>114</v>
      </c>
      <c r="D52" t="s">
        <v>18</v>
      </c>
      <c r="E52" t="s">
        <v>452</v>
      </c>
      <c r="F52" t="s">
        <v>454</v>
      </c>
      <c r="G52" s="4">
        <v>94054900</v>
      </c>
      <c r="H52">
        <v>20</v>
      </c>
      <c r="I52">
        <v>271.19</v>
      </c>
      <c r="J52" s="4">
        <f t="shared" si="0"/>
        <v>5423.8</v>
      </c>
      <c r="K52">
        <f t="shared" si="1"/>
        <v>488.142</v>
      </c>
      <c r="L52">
        <f t="shared" si="2"/>
        <v>488.142</v>
      </c>
      <c r="M52">
        <f t="shared" si="3"/>
        <v>6400.1</v>
      </c>
    </row>
    <row r="53" spans="1:13" x14ac:dyDescent="0.25">
      <c r="A53" s="4">
        <v>1182</v>
      </c>
      <c r="B53" s="3">
        <v>46097</v>
      </c>
      <c r="C53" t="s">
        <v>114</v>
      </c>
      <c r="D53" t="s">
        <v>36</v>
      </c>
      <c r="E53" t="s">
        <v>452</v>
      </c>
      <c r="F53" t="s">
        <v>454</v>
      </c>
      <c r="G53" s="4">
        <v>94054900</v>
      </c>
      <c r="H53">
        <v>20</v>
      </c>
      <c r="I53">
        <v>322.02999999999997</v>
      </c>
      <c r="J53" s="4">
        <f t="shared" si="0"/>
        <v>6440.5999999999995</v>
      </c>
      <c r="K53">
        <f t="shared" si="1"/>
        <v>579.65399999999988</v>
      </c>
      <c r="L53">
        <f t="shared" si="2"/>
        <v>579.65399999999988</v>
      </c>
      <c r="M53">
        <f t="shared" si="3"/>
        <v>7599.9</v>
      </c>
    </row>
    <row r="54" spans="1:13" x14ac:dyDescent="0.25">
      <c r="A54" s="4">
        <v>1182</v>
      </c>
      <c r="B54" s="3">
        <v>46097</v>
      </c>
      <c r="C54" t="s">
        <v>114</v>
      </c>
      <c r="D54" t="s">
        <v>139</v>
      </c>
      <c r="E54" t="s">
        <v>452</v>
      </c>
      <c r="F54" t="s">
        <v>454</v>
      </c>
      <c r="G54" s="4">
        <v>94054900</v>
      </c>
      <c r="H54">
        <v>2</v>
      </c>
      <c r="I54">
        <v>635.59</v>
      </c>
      <c r="J54" s="4">
        <f t="shared" si="0"/>
        <v>1271.18</v>
      </c>
      <c r="K54">
        <f t="shared" si="1"/>
        <v>114.4062</v>
      </c>
      <c r="L54">
        <f t="shared" si="2"/>
        <v>114.4062</v>
      </c>
      <c r="M54">
        <f t="shared" si="3"/>
        <v>1500</v>
      </c>
    </row>
    <row r="55" spans="1:13" x14ac:dyDescent="0.25">
      <c r="A55" s="4">
        <v>1182</v>
      </c>
      <c r="B55" s="3">
        <v>46097</v>
      </c>
      <c r="C55" t="s">
        <v>114</v>
      </c>
      <c r="D55" t="s">
        <v>47</v>
      </c>
      <c r="E55" t="s">
        <v>452</v>
      </c>
      <c r="F55" t="s">
        <v>454</v>
      </c>
      <c r="G55" s="4">
        <v>94054900</v>
      </c>
      <c r="H55">
        <v>10</v>
      </c>
      <c r="I55">
        <v>183.9</v>
      </c>
      <c r="J55" s="4">
        <f t="shared" si="0"/>
        <v>1839</v>
      </c>
      <c r="K55">
        <f t="shared" si="1"/>
        <v>165.51</v>
      </c>
      <c r="L55">
        <f t="shared" si="2"/>
        <v>165.51</v>
      </c>
      <c r="M55">
        <f t="shared" si="3"/>
        <v>2170</v>
      </c>
    </row>
    <row r="56" spans="1:13" x14ac:dyDescent="0.25">
      <c r="A56" s="4">
        <v>1183</v>
      </c>
      <c r="B56" s="3">
        <v>46097</v>
      </c>
      <c r="C56" t="s">
        <v>129</v>
      </c>
      <c r="D56" t="s">
        <v>47</v>
      </c>
      <c r="E56" t="s">
        <v>452</v>
      </c>
      <c r="F56" t="s">
        <v>454</v>
      </c>
      <c r="G56" s="4">
        <v>94054900</v>
      </c>
      <c r="H56">
        <v>24</v>
      </c>
      <c r="I56">
        <v>183.86</v>
      </c>
      <c r="J56" s="4">
        <f t="shared" si="0"/>
        <v>4412.6400000000003</v>
      </c>
      <c r="K56">
        <f t="shared" si="1"/>
        <v>397.13760000000002</v>
      </c>
      <c r="L56">
        <f t="shared" si="2"/>
        <v>397.13760000000002</v>
      </c>
      <c r="M56">
        <f t="shared" si="3"/>
        <v>5206.8999999999996</v>
      </c>
    </row>
    <row r="57" spans="1:13" x14ac:dyDescent="0.25">
      <c r="A57" s="4">
        <v>1183</v>
      </c>
      <c r="B57" s="3">
        <v>46097</v>
      </c>
      <c r="C57" t="s">
        <v>129</v>
      </c>
      <c r="D57" t="s">
        <v>130</v>
      </c>
      <c r="E57" t="s">
        <v>452</v>
      </c>
      <c r="F57" t="s">
        <v>454</v>
      </c>
      <c r="G57" s="4">
        <v>94054900</v>
      </c>
      <c r="H57">
        <v>4</v>
      </c>
      <c r="I57">
        <v>528.80999999999995</v>
      </c>
      <c r="J57" s="4">
        <f t="shared" si="0"/>
        <v>2115.2399999999998</v>
      </c>
      <c r="K57">
        <f t="shared" si="1"/>
        <v>190.37159999999997</v>
      </c>
      <c r="L57">
        <f t="shared" si="2"/>
        <v>190.37159999999997</v>
      </c>
      <c r="M57">
        <f t="shared" si="3"/>
        <v>2496</v>
      </c>
    </row>
    <row r="58" spans="1:13" x14ac:dyDescent="0.25">
      <c r="A58" s="4">
        <v>1184</v>
      </c>
      <c r="B58" s="3">
        <v>46097</v>
      </c>
      <c r="C58" t="s">
        <v>65</v>
      </c>
      <c r="D58" t="s">
        <v>44</v>
      </c>
      <c r="E58" t="s">
        <v>452</v>
      </c>
      <c r="F58" t="s">
        <v>454</v>
      </c>
      <c r="G58" s="4">
        <v>94054900</v>
      </c>
      <c r="H58" s="4">
        <v>10</v>
      </c>
      <c r="I58" s="4">
        <v>186.44</v>
      </c>
      <c r="J58" s="4">
        <f t="shared" si="0"/>
        <v>1864.4</v>
      </c>
      <c r="K58">
        <f t="shared" si="1"/>
        <v>167.79599999999999</v>
      </c>
      <c r="L58">
        <f t="shared" si="2"/>
        <v>167.79599999999999</v>
      </c>
      <c r="M58">
        <f t="shared" si="3"/>
        <v>2200</v>
      </c>
    </row>
    <row r="59" spans="1:13" x14ac:dyDescent="0.25">
      <c r="A59" s="4">
        <v>1184</v>
      </c>
      <c r="B59" s="3">
        <v>46097</v>
      </c>
      <c r="C59" t="s">
        <v>65</v>
      </c>
      <c r="D59" t="s">
        <v>50</v>
      </c>
      <c r="E59" t="s">
        <v>452</v>
      </c>
      <c r="F59" t="s">
        <v>453</v>
      </c>
      <c r="G59" s="4">
        <v>84145120</v>
      </c>
      <c r="H59" s="4">
        <v>1</v>
      </c>
      <c r="I59" s="4">
        <v>1144.07</v>
      </c>
      <c r="J59" s="4">
        <f t="shared" si="0"/>
        <v>1144.07</v>
      </c>
      <c r="K59">
        <f t="shared" si="1"/>
        <v>102.96629999999999</v>
      </c>
      <c r="L59">
        <f t="shared" si="2"/>
        <v>102.96629999999999</v>
      </c>
      <c r="M59">
        <f t="shared" si="3"/>
        <v>1350</v>
      </c>
    </row>
    <row r="60" spans="1:13" x14ac:dyDescent="0.25">
      <c r="A60" s="4">
        <v>1184</v>
      </c>
      <c r="B60" s="3">
        <v>46097</v>
      </c>
      <c r="C60" t="s">
        <v>65</v>
      </c>
      <c r="D60" t="s">
        <v>35</v>
      </c>
      <c r="E60" t="s">
        <v>452</v>
      </c>
      <c r="F60" t="s">
        <v>454</v>
      </c>
      <c r="G60" s="4">
        <v>94054900</v>
      </c>
      <c r="H60" s="4">
        <v>100</v>
      </c>
      <c r="I60" s="4">
        <v>22.03</v>
      </c>
      <c r="J60" s="4">
        <f t="shared" si="0"/>
        <v>2203</v>
      </c>
      <c r="K60">
        <f t="shared" si="1"/>
        <v>198.26999999999998</v>
      </c>
      <c r="L60">
        <f t="shared" si="2"/>
        <v>198.26999999999998</v>
      </c>
      <c r="M60">
        <f t="shared" si="3"/>
        <v>2599.5</v>
      </c>
    </row>
    <row r="61" spans="1:13" x14ac:dyDescent="0.25">
      <c r="A61" s="4">
        <v>1184</v>
      </c>
      <c r="B61" s="3">
        <v>46097</v>
      </c>
      <c r="C61" t="s">
        <v>65</v>
      </c>
      <c r="D61" t="s">
        <v>13</v>
      </c>
      <c r="E61" t="s">
        <v>452</v>
      </c>
      <c r="F61" t="s">
        <v>454</v>
      </c>
      <c r="G61" s="4">
        <v>94054900</v>
      </c>
      <c r="H61" s="4">
        <v>20</v>
      </c>
      <c r="I61" s="4">
        <v>80.510000000000005</v>
      </c>
      <c r="J61" s="4">
        <f t="shared" si="0"/>
        <v>1610.2</v>
      </c>
      <c r="K61">
        <f t="shared" si="1"/>
        <v>144.91800000000001</v>
      </c>
      <c r="L61">
        <f t="shared" si="2"/>
        <v>144.91800000000001</v>
      </c>
      <c r="M61">
        <f t="shared" si="3"/>
        <v>1900</v>
      </c>
    </row>
    <row r="62" spans="1:13" x14ac:dyDescent="0.25">
      <c r="A62" s="4">
        <v>1184</v>
      </c>
      <c r="B62" s="3">
        <v>46097</v>
      </c>
      <c r="C62" t="s">
        <v>65</v>
      </c>
      <c r="D62" t="s">
        <v>59</v>
      </c>
      <c r="E62" t="s">
        <v>452</v>
      </c>
      <c r="F62" t="s">
        <v>454</v>
      </c>
      <c r="G62" s="4">
        <v>94054900</v>
      </c>
      <c r="H62" s="4">
        <v>20</v>
      </c>
      <c r="I62" s="4">
        <v>212.71</v>
      </c>
      <c r="J62" s="4">
        <f t="shared" si="0"/>
        <v>4254.2</v>
      </c>
      <c r="K62">
        <f t="shared" si="1"/>
        <v>382.87799999999999</v>
      </c>
      <c r="L62">
        <f t="shared" si="2"/>
        <v>382.87799999999999</v>
      </c>
      <c r="M62">
        <f t="shared" si="3"/>
        <v>5020</v>
      </c>
    </row>
    <row r="63" spans="1:13" x14ac:dyDescent="0.25">
      <c r="A63" s="4">
        <v>1184</v>
      </c>
      <c r="B63" s="3">
        <v>46097</v>
      </c>
      <c r="C63" t="s">
        <v>65</v>
      </c>
      <c r="D63" t="s">
        <v>140</v>
      </c>
      <c r="E63" t="s">
        <v>452</v>
      </c>
      <c r="F63" t="s">
        <v>454</v>
      </c>
      <c r="G63" s="4">
        <v>94054900</v>
      </c>
      <c r="H63" s="4">
        <v>15</v>
      </c>
      <c r="I63" s="4">
        <v>114.35</v>
      </c>
      <c r="J63" s="4">
        <f t="shared" si="0"/>
        <v>1715.25</v>
      </c>
      <c r="K63">
        <f t="shared" si="1"/>
        <v>154.3725</v>
      </c>
      <c r="L63">
        <f t="shared" si="2"/>
        <v>154.3725</v>
      </c>
      <c r="M63">
        <f t="shared" si="3"/>
        <v>2024</v>
      </c>
    </row>
    <row r="64" spans="1:13" x14ac:dyDescent="0.25">
      <c r="A64" s="4">
        <v>1184</v>
      </c>
      <c r="B64" s="3">
        <v>46097</v>
      </c>
      <c r="C64" t="s">
        <v>65</v>
      </c>
      <c r="D64" t="s">
        <v>72</v>
      </c>
      <c r="E64" t="s">
        <v>452</v>
      </c>
      <c r="F64" t="s">
        <v>454</v>
      </c>
      <c r="G64" s="4">
        <v>94054900</v>
      </c>
      <c r="H64" s="4">
        <v>5</v>
      </c>
      <c r="I64" s="4">
        <v>211.86</v>
      </c>
      <c r="J64" s="4">
        <f t="shared" si="0"/>
        <v>1059.3000000000002</v>
      </c>
      <c r="K64">
        <f t="shared" si="1"/>
        <v>95.337000000000018</v>
      </c>
      <c r="L64">
        <f t="shared" si="2"/>
        <v>95.337000000000018</v>
      </c>
      <c r="M64">
        <f t="shared" si="3"/>
        <v>1250</v>
      </c>
    </row>
    <row r="65" spans="1:13" x14ac:dyDescent="0.25">
      <c r="A65" s="4">
        <v>1185</v>
      </c>
      <c r="B65" s="3">
        <v>46097</v>
      </c>
      <c r="C65" t="s">
        <v>115</v>
      </c>
      <c r="D65" t="s">
        <v>59</v>
      </c>
      <c r="E65" t="s">
        <v>452</v>
      </c>
      <c r="F65" t="s">
        <v>454</v>
      </c>
      <c r="G65" s="4">
        <v>94054900</v>
      </c>
      <c r="H65">
        <v>40</v>
      </c>
      <c r="I65">
        <v>206.78</v>
      </c>
      <c r="J65" s="4">
        <f t="shared" si="0"/>
        <v>8271.2000000000007</v>
      </c>
      <c r="K65">
        <f t="shared" si="1"/>
        <v>744.40800000000002</v>
      </c>
      <c r="L65">
        <f t="shared" si="2"/>
        <v>744.40800000000002</v>
      </c>
      <c r="M65">
        <f t="shared" si="3"/>
        <v>9760</v>
      </c>
    </row>
    <row r="66" spans="1:13" x14ac:dyDescent="0.25">
      <c r="A66" s="4">
        <v>1185</v>
      </c>
      <c r="B66" s="3">
        <v>46097</v>
      </c>
      <c r="C66" t="s">
        <v>115</v>
      </c>
      <c r="D66" t="s">
        <v>58</v>
      </c>
      <c r="E66" t="s">
        <v>452</v>
      </c>
      <c r="F66" t="s">
        <v>454</v>
      </c>
      <c r="G66" s="4">
        <v>94054900</v>
      </c>
      <c r="H66">
        <v>20</v>
      </c>
      <c r="I66">
        <v>169.49</v>
      </c>
      <c r="J66" s="4">
        <f t="shared" si="0"/>
        <v>3389.8</v>
      </c>
      <c r="K66">
        <f t="shared" si="1"/>
        <v>305.08199999999999</v>
      </c>
      <c r="L66">
        <f t="shared" si="2"/>
        <v>305.08199999999999</v>
      </c>
      <c r="M66">
        <f t="shared" si="3"/>
        <v>4000</v>
      </c>
    </row>
    <row r="67" spans="1:13" x14ac:dyDescent="0.25">
      <c r="A67" s="4">
        <v>1185</v>
      </c>
      <c r="B67" s="3">
        <v>46097</v>
      </c>
      <c r="C67" t="s">
        <v>115</v>
      </c>
      <c r="D67" t="s">
        <v>54</v>
      </c>
      <c r="E67" t="s">
        <v>452</v>
      </c>
      <c r="F67" t="s">
        <v>454</v>
      </c>
      <c r="G67" s="4">
        <v>94054900</v>
      </c>
      <c r="H67">
        <v>50</v>
      </c>
      <c r="I67">
        <v>111</v>
      </c>
      <c r="J67" s="4">
        <f t="shared" ref="J67:J130" si="4">I67*H67</f>
        <v>5550</v>
      </c>
      <c r="K67">
        <f t="shared" ref="K67:K130" si="5">J67*0.09</f>
        <v>499.5</v>
      </c>
      <c r="L67">
        <f t="shared" ref="L67:L130" si="6">K67</f>
        <v>499.5</v>
      </c>
      <c r="M67">
        <f t="shared" ref="M67:M130" si="7">ROUND(J67*1.18,1)</f>
        <v>6549</v>
      </c>
    </row>
    <row r="68" spans="1:13" x14ac:dyDescent="0.25">
      <c r="A68" s="4">
        <v>1185</v>
      </c>
      <c r="B68" s="3">
        <v>46097</v>
      </c>
      <c r="C68" t="s">
        <v>115</v>
      </c>
      <c r="D68" t="s">
        <v>64</v>
      </c>
      <c r="E68" t="s">
        <v>452</v>
      </c>
      <c r="F68" t="s">
        <v>454</v>
      </c>
      <c r="G68" s="4">
        <v>94054900</v>
      </c>
      <c r="H68">
        <v>20</v>
      </c>
      <c r="I68">
        <v>150</v>
      </c>
      <c r="J68" s="4">
        <f t="shared" si="4"/>
        <v>3000</v>
      </c>
      <c r="K68">
        <f t="shared" si="5"/>
        <v>270</v>
      </c>
      <c r="L68">
        <f t="shared" si="6"/>
        <v>270</v>
      </c>
      <c r="M68">
        <f t="shared" si="7"/>
        <v>3540</v>
      </c>
    </row>
    <row r="69" spans="1:13" x14ac:dyDescent="0.25">
      <c r="A69" s="4">
        <v>1185</v>
      </c>
      <c r="B69" s="3">
        <v>46097</v>
      </c>
      <c r="C69" t="s">
        <v>115</v>
      </c>
      <c r="D69" t="s">
        <v>74</v>
      </c>
      <c r="E69" t="s">
        <v>452</v>
      </c>
      <c r="F69" t="s">
        <v>454</v>
      </c>
      <c r="G69" s="4">
        <v>94054900</v>
      </c>
      <c r="H69">
        <v>30</v>
      </c>
      <c r="I69">
        <v>122.85</v>
      </c>
      <c r="J69" s="4">
        <f t="shared" si="4"/>
        <v>3685.5</v>
      </c>
      <c r="K69">
        <f t="shared" si="5"/>
        <v>331.69499999999999</v>
      </c>
      <c r="L69">
        <f t="shared" si="6"/>
        <v>331.69499999999999</v>
      </c>
      <c r="M69">
        <f t="shared" si="7"/>
        <v>4348.8999999999996</v>
      </c>
    </row>
    <row r="70" spans="1:13" x14ac:dyDescent="0.25">
      <c r="A70" s="4">
        <v>1185</v>
      </c>
      <c r="B70" s="3">
        <v>46097</v>
      </c>
      <c r="C70" t="s">
        <v>115</v>
      </c>
      <c r="D70" t="s">
        <v>47</v>
      </c>
      <c r="E70" t="s">
        <v>452</v>
      </c>
      <c r="F70" t="s">
        <v>454</v>
      </c>
      <c r="G70" s="4">
        <v>94054900</v>
      </c>
      <c r="H70">
        <v>24</v>
      </c>
      <c r="I70">
        <v>177.97</v>
      </c>
      <c r="J70" s="4">
        <f t="shared" si="4"/>
        <v>4271.28</v>
      </c>
      <c r="K70">
        <f t="shared" si="5"/>
        <v>384.41519999999997</v>
      </c>
      <c r="L70">
        <f t="shared" si="6"/>
        <v>384.41519999999997</v>
      </c>
      <c r="M70">
        <f t="shared" si="7"/>
        <v>5040.1000000000004</v>
      </c>
    </row>
    <row r="71" spans="1:13" x14ac:dyDescent="0.25">
      <c r="A71" s="4">
        <v>1185</v>
      </c>
      <c r="B71" s="3">
        <v>46097</v>
      </c>
      <c r="C71" t="s">
        <v>115</v>
      </c>
      <c r="D71" t="s">
        <v>18</v>
      </c>
      <c r="E71" t="s">
        <v>452</v>
      </c>
      <c r="F71" t="s">
        <v>454</v>
      </c>
      <c r="G71" s="4">
        <v>94054900</v>
      </c>
      <c r="H71">
        <v>20</v>
      </c>
      <c r="I71">
        <v>268.64</v>
      </c>
      <c r="J71" s="4">
        <f t="shared" si="4"/>
        <v>5372.7999999999993</v>
      </c>
      <c r="K71">
        <f t="shared" si="5"/>
        <v>483.55199999999991</v>
      </c>
      <c r="L71">
        <f t="shared" si="6"/>
        <v>483.55199999999991</v>
      </c>
      <c r="M71">
        <f t="shared" si="7"/>
        <v>6339.9</v>
      </c>
    </row>
    <row r="72" spans="1:13" x14ac:dyDescent="0.25">
      <c r="A72" s="4">
        <v>210</v>
      </c>
      <c r="B72" s="3">
        <v>46097</v>
      </c>
      <c r="C72" t="s">
        <v>25</v>
      </c>
      <c r="D72" t="s">
        <v>47</v>
      </c>
      <c r="E72" t="s">
        <v>452</v>
      </c>
      <c r="F72" t="s">
        <v>454</v>
      </c>
      <c r="G72" s="4">
        <v>94054900</v>
      </c>
      <c r="H72" s="4">
        <v>24</v>
      </c>
      <c r="I72" s="4">
        <v>183.9</v>
      </c>
      <c r="J72" s="4">
        <f t="shared" si="4"/>
        <v>4413.6000000000004</v>
      </c>
      <c r="K72">
        <f t="shared" si="5"/>
        <v>397.22400000000005</v>
      </c>
      <c r="L72">
        <f t="shared" si="6"/>
        <v>397.22400000000005</v>
      </c>
      <c r="M72">
        <f t="shared" si="7"/>
        <v>5208</v>
      </c>
    </row>
    <row r="73" spans="1:13" x14ac:dyDescent="0.25">
      <c r="A73" s="4">
        <v>211</v>
      </c>
      <c r="B73" s="3">
        <v>46097</v>
      </c>
      <c r="C73" t="s">
        <v>154</v>
      </c>
      <c r="D73" t="s">
        <v>55</v>
      </c>
      <c r="E73" t="s">
        <v>452</v>
      </c>
      <c r="F73" t="s">
        <v>454</v>
      </c>
      <c r="G73" s="4">
        <v>94054900</v>
      </c>
      <c r="H73">
        <v>1</v>
      </c>
      <c r="I73">
        <v>803.39</v>
      </c>
      <c r="J73" s="4">
        <f t="shared" si="4"/>
        <v>803.39</v>
      </c>
      <c r="K73">
        <f t="shared" si="5"/>
        <v>72.305099999999996</v>
      </c>
      <c r="L73">
        <f t="shared" si="6"/>
        <v>72.305099999999996</v>
      </c>
      <c r="M73">
        <f t="shared" si="7"/>
        <v>948</v>
      </c>
    </row>
    <row r="74" spans="1:13" x14ac:dyDescent="0.25">
      <c r="A74" s="4">
        <v>211</v>
      </c>
      <c r="B74" s="3">
        <v>46097</v>
      </c>
      <c r="C74" t="s">
        <v>154</v>
      </c>
      <c r="D74" t="s">
        <v>32</v>
      </c>
      <c r="E74" t="s">
        <v>452</v>
      </c>
      <c r="F74" t="s">
        <v>454</v>
      </c>
      <c r="G74" s="4">
        <v>94054900</v>
      </c>
      <c r="H74">
        <v>1</v>
      </c>
      <c r="I74">
        <v>492.37</v>
      </c>
      <c r="J74" s="4">
        <f t="shared" si="4"/>
        <v>492.37</v>
      </c>
      <c r="K74">
        <f t="shared" si="5"/>
        <v>44.313299999999998</v>
      </c>
      <c r="L74">
        <f t="shared" si="6"/>
        <v>44.313299999999998</v>
      </c>
      <c r="M74">
        <f t="shared" si="7"/>
        <v>581</v>
      </c>
    </row>
    <row r="75" spans="1:13" x14ac:dyDescent="0.25">
      <c r="A75" s="4">
        <v>211</v>
      </c>
      <c r="B75" s="3">
        <v>46097</v>
      </c>
      <c r="C75" t="s">
        <v>154</v>
      </c>
      <c r="D75" t="s">
        <v>73</v>
      </c>
      <c r="E75" t="s">
        <v>452</v>
      </c>
      <c r="F75" t="s">
        <v>454</v>
      </c>
      <c r="G75" s="4">
        <v>94054900</v>
      </c>
      <c r="H75">
        <v>1</v>
      </c>
      <c r="I75">
        <v>509.32</v>
      </c>
      <c r="J75" s="4">
        <f t="shared" si="4"/>
        <v>509.32</v>
      </c>
      <c r="K75">
        <f t="shared" si="5"/>
        <v>45.838799999999999</v>
      </c>
      <c r="L75">
        <f t="shared" si="6"/>
        <v>45.838799999999999</v>
      </c>
      <c r="M75">
        <f t="shared" si="7"/>
        <v>601</v>
      </c>
    </row>
    <row r="76" spans="1:13" x14ac:dyDescent="0.25">
      <c r="A76" s="4">
        <v>211</v>
      </c>
      <c r="B76" s="3">
        <v>46097</v>
      </c>
      <c r="C76" t="s">
        <v>154</v>
      </c>
      <c r="D76" t="s">
        <v>47</v>
      </c>
      <c r="E76" t="s">
        <v>452</v>
      </c>
      <c r="F76" t="s">
        <v>454</v>
      </c>
      <c r="G76" s="4">
        <v>94054900</v>
      </c>
      <c r="H76">
        <v>5</v>
      </c>
      <c r="I76">
        <v>183.9</v>
      </c>
      <c r="J76" s="4">
        <f t="shared" si="4"/>
        <v>919.5</v>
      </c>
      <c r="K76">
        <f t="shared" si="5"/>
        <v>82.754999999999995</v>
      </c>
      <c r="L76">
        <f t="shared" si="6"/>
        <v>82.754999999999995</v>
      </c>
      <c r="M76">
        <f t="shared" si="7"/>
        <v>1085</v>
      </c>
    </row>
    <row r="77" spans="1:13" x14ac:dyDescent="0.25">
      <c r="A77" s="4">
        <v>211</v>
      </c>
      <c r="B77" s="3">
        <v>46097</v>
      </c>
      <c r="C77" t="s">
        <v>154</v>
      </c>
      <c r="D77" t="s">
        <v>82</v>
      </c>
      <c r="E77" t="s">
        <v>452</v>
      </c>
      <c r="F77" t="s">
        <v>453</v>
      </c>
      <c r="G77" s="4">
        <v>84145120</v>
      </c>
      <c r="H77">
        <v>1</v>
      </c>
      <c r="I77">
        <v>1144.07</v>
      </c>
      <c r="J77" s="4">
        <f t="shared" si="4"/>
        <v>1144.07</v>
      </c>
      <c r="K77">
        <f t="shared" si="5"/>
        <v>102.96629999999999</v>
      </c>
      <c r="L77">
        <f t="shared" si="6"/>
        <v>102.96629999999999</v>
      </c>
      <c r="M77">
        <f t="shared" si="7"/>
        <v>1350</v>
      </c>
    </row>
    <row r="78" spans="1:13" x14ac:dyDescent="0.25">
      <c r="A78" s="4">
        <v>212</v>
      </c>
      <c r="B78" s="3">
        <v>46097</v>
      </c>
      <c r="C78" t="s">
        <v>146</v>
      </c>
      <c r="D78" t="s">
        <v>47</v>
      </c>
      <c r="E78" t="s">
        <v>452</v>
      </c>
      <c r="F78" t="s">
        <v>454</v>
      </c>
      <c r="G78" s="4">
        <v>94054900</v>
      </c>
      <c r="H78">
        <v>48</v>
      </c>
      <c r="I78">
        <v>183.9</v>
      </c>
      <c r="J78" s="4">
        <f t="shared" si="4"/>
        <v>8827.2000000000007</v>
      </c>
      <c r="K78">
        <f t="shared" si="5"/>
        <v>794.44800000000009</v>
      </c>
      <c r="L78">
        <f t="shared" si="6"/>
        <v>794.44800000000009</v>
      </c>
      <c r="M78">
        <f t="shared" si="7"/>
        <v>10416.1</v>
      </c>
    </row>
    <row r="79" spans="1:13" x14ac:dyDescent="0.25">
      <c r="A79" s="4">
        <v>214</v>
      </c>
      <c r="B79" s="3">
        <v>46097</v>
      </c>
      <c r="C79" t="s">
        <v>17</v>
      </c>
      <c r="D79" t="s">
        <v>47</v>
      </c>
      <c r="E79" t="s">
        <v>452</v>
      </c>
      <c r="F79" t="s">
        <v>454</v>
      </c>
      <c r="G79" s="4">
        <v>94054900</v>
      </c>
      <c r="H79">
        <v>24</v>
      </c>
      <c r="I79">
        <v>183.9</v>
      </c>
      <c r="J79" s="4">
        <f t="shared" si="4"/>
        <v>4413.6000000000004</v>
      </c>
      <c r="K79">
        <f t="shared" si="5"/>
        <v>397.22400000000005</v>
      </c>
      <c r="L79">
        <f t="shared" si="6"/>
        <v>397.22400000000005</v>
      </c>
      <c r="M79">
        <f t="shared" si="7"/>
        <v>5208</v>
      </c>
    </row>
    <row r="80" spans="1:13" x14ac:dyDescent="0.25">
      <c r="A80" s="4">
        <v>215</v>
      </c>
      <c r="B80" s="3">
        <v>46097</v>
      </c>
      <c r="C80" t="s">
        <v>10</v>
      </c>
      <c r="D80" t="s">
        <v>155</v>
      </c>
      <c r="E80" t="s">
        <v>452</v>
      </c>
      <c r="F80" t="s">
        <v>453</v>
      </c>
      <c r="G80" s="4">
        <v>84145120</v>
      </c>
      <c r="H80" s="4">
        <v>4</v>
      </c>
      <c r="I80" s="4">
        <v>1144.07</v>
      </c>
      <c r="J80" s="4">
        <f t="shared" si="4"/>
        <v>4576.28</v>
      </c>
      <c r="K80">
        <f t="shared" si="5"/>
        <v>411.86519999999996</v>
      </c>
      <c r="L80">
        <f t="shared" si="6"/>
        <v>411.86519999999996</v>
      </c>
      <c r="M80">
        <f t="shared" si="7"/>
        <v>5400</v>
      </c>
    </row>
    <row r="81" spans="1:13" x14ac:dyDescent="0.25">
      <c r="A81" s="4">
        <v>215</v>
      </c>
      <c r="B81" s="3">
        <v>46097</v>
      </c>
      <c r="C81" t="s">
        <v>10</v>
      </c>
      <c r="D81" t="s">
        <v>82</v>
      </c>
      <c r="E81" t="s">
        <v>452</v>
      </c>
      <c r="F81" t="s">
        <v>453</v>
      </c>
      <c r="G81" s="4">
        <v>84145120</v>
      </c>
      <c r="H81" s="4">
        <v>4</v>
      </c>
      <c r="I81" s="4">
        <v>1144.07</v>
      </c>
      <c r="J81" s="4">
        <f t="shared" si="4"/>
        <v>4576.28</v>
      </c>
      <c r="K81">
        <f t="shared" si="5"/>
        <v>411.86519999999996</v>
      </c>
      <c r="L81">
        <f t="shared" si="6"/>
        <v>411.86519999999996</v>
      </c>
      <c r="M81">
        <f t="shared" si="7"/>
        <v>5400</v>
      </c>
    </row>
    <row r="82" spans="1:13" x14ac:dyDescent="0.25">
      <c r="A82" s="4">
        <v>215</v>
      </c>
      <c r="B82" s="3">
        <v>46097</v>
      </c>
      <c r="C82" t="s">
        <v>10</v>
      </c>
      <c r="D82" t="s">
        <v>33</v>
      </c>
      <c r="E82" t="s">
        <v>452</v>
      </c>
      <c r="F82" t="s">
        <v>453</v>
      </c>
      <c r="G82" s="4">
        <v>84145120</v>
      </c>
      <c r="H82" s="4">
        <v>2</v>
      </c>
      <c r="I82" s="4">
        <v>1906.78</v>
      </c>
      <c r="J82" s="4">
        <f t="shared" si="4"/>
        <v>3813.56</v>
      </c>
      <c r="K82">
        <f t="shared" si="5"/>
        <v>343.22039999999998</v>
      </c>
      <c r="L82">
        <f t="shared" si="6"/>
        <v>343.22039999999998</v>
      </c>
      <c r="M82">
        <f t="shared" si="7"/>
        <v>4500</v>
      </c>
    </row>
    <row r="83" spans="1:13" x14ac:dyDescent="0.25">
      <c r="A83" s="4">
        <v>97</v>
      </c>
      <c r="B83" s="3">
        <v>46097</v>
      </c>
      <c r="C83" t="s">
        <v>151</v>
      </c>
      <c r="D83" t="s">
        <v>167</v>
      </c>
      <c r="H83" s="4">
        <v>1</v>
      </c>
      <c r="I83" s="4">
        <v>147</v>
      </c>
      <c r="J83" s="4">
        <f t="shared" si="4"/>
        <v>147</v>
      </c>
      <c r="K83">
        <f t="shared" si="5"/>
        <v>13.229999999999999</v>
      </c>
      <c r="L83">
        <f t="shared" si="6"/>
        <v>13.229999999999999</v>
      </c>
      <c r="M83">
        <f t="shared" si="7"/>
        <v>173.5</v>
      </c>
    </row>
    <row r="84" spans="1:13" x14ac:dyDescent="0.25">
      <c r="A84" s="4">
        <v>209</v>
      </c>
      <c r="B84" s="3">
        <v>46093</v>
      </c>
      <c r="C84" t="s">
        <v>151</v>
      </c>
      <c r="D84" t="s">
        <v>138</v>
      </c>
      <c r="E84" t="s">
        <v>452</v>
      </c>
      <c r="F84" t="s">
        <v>454</v>
      </c>
      <c r="G84" s="4">
        <v>94054900</v>
      </c>
      <c r="H84" s="4">
        <v>1</v>
      </c>
      <c r="I84" s="4">
        <v>1642.37</v>
      </c>
      <c r="J84" s="4">
        <f t="shared" si="4"/>
        <v>1642.37</v>
      </c>
      <c r="K84">
        <f t="shared" si="5"/>
        <v>147.8133</v>
      </c>
      <c r="L84">
        <f t="shared" si="6"/>
        <v>147.8133</v>
      </c>
      <c r="M84">
        <f t="shared" si="7"/>
        <v>1938</v>
      </c>
    </row>
    <row r="85" spans="1:13" x14ac:dyDescent="0.25">
      <c r="A85" s="4">
        <v>209</v>
      </c>
      <c r="B85" s="3">
        <v>46093</v>
      </c>
      <c r="C85" t="s">
        <v>151</v>
      </c>
      <c r="D85" t="s">
        <v>18</v>
      </c>
      <c r="E85" t="s">
        <v>452</v>
      </c>
      <c r="F85" t="s">
        <v>454</v>
      </c>
      <c r="G85" s="4">
        <v>94054900</v>
      </c>
      <c r="H85" s="4">
        <v>5</v>
      </c>
      <c r="I85" s="4">
        <v>264.41000000000003</v>
      </c>
      <c r="J85" s="4">
        <f t="shared" si="4"/>
        <v>1322.0500000000002</v>
      </c>
      <c r="K85">
        <f t="shared" si="5"/>
        <v>118.98450000000001</v>
      </c>
      <c r="L85">
        <f t="shared" si="6"/>
        <v>118.98450000000001</v>
      </c>
      <c r="M85">
        <f t="shared" si="7"/>
        <v>1560</v>
      </c>
    </row>
    <row r="86" spans="1:13" x14ac:dyDescent="0.25">
      <c r="A86" s="4">
        <v>209</v>
      </c>
      <c r="B86" s="3">
        <v>46093</v>
      </c>
      <c r="C86" t="s">
        <v>151</v>
      </c>
      <c r="D86" t="s">
        <v>122</v>
      </c>
      <c r="E86" t="s">
        <v>452</v>
      </c>
      <c r="F86" t="s">
        <v>454</v>
      </c>
      <c r="G86" s="4">
        <v>94054900</v>
      </c>
      <c r="H86" s="4">
        <v>20</v>
      </c>
      <c r="I86" s="4">
        <v>132.19999999999999</v>
      </c>
      <c r="J86" s="4">
        <f t="shared" si="4"/>
        <v>2644</v>
      </c>
      <c r="K86">
        <f t="shared" si="5"/>
        <v>237.95999999999998</v>
      </c>
      <c r="L86">
        <f t="shared" si="6"/>
        <v>237.95999999999998</v>
      </c>
      <c r="M86">
        <f t="shared" si="7"/>
        <v>3119.9</v>
      </c>
    </row>
    <row r="87" spans="1:13" x14ac:dyDescent="0.25">
      <c r="A87" s="4">
        <v>209</v>
      </c>
      <c r="B87" s="3">
        <v>46093</v>
      </c>
      <c r="C87" t="s">
        <v>151</v>
      </c>
      <c r="D87" t="s">
        <v>136</v>
      </c>
      <c r="E87" t="s">
        <v>452</v>
      </c>
      <c r="F87" t="s">
        <v>454</v>
      </c>
      <c r="G87" s="4">
        <v>94054900</v>
      </c>
      <c r="H87" s="4">
        <v>4</v>
      </c>
      <c r="I87" s="4">
        <v>512.71</v>
      </c>
      <c r="J87" s="4">
        <f t="shared" si="4"/>
        <v>2050.84</v>
      </c>
      <c r="K87">
        <f t="shared" si="5"/>
        <v>184.57560000000001</v>
      </c>
      <c r="L87">
        <f t="shared" si="6"/>
        <v>184.57560000000001</v>
      </c>
      <c r="M87">
        <f t="shared" si="7"/>
        <v>2420</v>
      </c>
    </row>
    <row r="88" spans="1:13" x14ac:dyDescent="0.25">
      <c r="A88" s="4">
        <v>209</v>
      </c>
      <c r="B88" s="3">
        <v>46093</v>
      </c>
      <c r="C88" t="s">
        <v>151</v>
      </c>
      <c r="D88" t="s">
        <v>68</v>
      </c>
      <c r="E88" t="s">
        <v>452</v>
      </c>
      <c r="F88" t="s">
        <v>454</v>
      </c>
      <c r="G88" s="4">
        <v>94054900</v>
      </c>
      <c r="H88" s="4">
        <v>2</v>
      </c>
      <c r="I88" s="4">
        <v>399.15</v>
      </c>
      <c r="J88" s="4">
        <f t="shared" si="4"/>
        <v>798.3</v>
      </c>
      <c r="K88">
        <f t="shared" si="5"/>
        <v>71.846999999999994</v>
      </c>
      <c r="L88">
        <f t="shared" si="6"/>
        <v>71.846999999999994</v>
      </c>
      <c r="M88">
        <f t="shared" si="7"/>
        <v>942</v>
      </c>
    </row>
    <row r="89" spans="1:13" x14ac:dyDescent="0.25">
      <c r="A89" s="4">
        <v>209</v>
      </c>
      <c r="B89" s="3">
        <v>46093</v>
      </c>
      <c r="C89" t="s">
        <v>151</v>
      </c>
      <c r="D89" t="s">
        <v>139</v>
      </c>
      <c r="E89" t="s">
        <v>452</v>
      </c>
      <c r="F89" t="s">
        <v>454</v>
      </c>
      <c r="G89" s="4">
        <v>94054900</v>
      </c>
      <c r="H89" s="4">
        <v>1</v>
      </c>
      <c r="I89" s="4">
        <v>618.64</v>
      </c>
      <c r="J89" s="4">
        <f t="shared" si="4"/>
        <v>618.64</v>
      </c>
      <c r="K89">
        <f t="shared" si="5"/>
        <v>55.677599999999998</v>
      </c>
      <c r="L89">
        <f t="shared" si="6"/>
        <v>55.677599999999998</v>
      </c>
      <c r="M89">
        <f t="shared" si="7"/>
        <v>730</v>
      </c>
    </row>
    <row r="90" spans="1:13" x14ac:dyDescent="0.25">
      <c r="A90" s="4">
        <v>209</v>
      </c>
      <c r="B90" s="3">
        <v>46093</v>
      </c>
      <c r="C90" t="s">
        <v>151</v>
      </c>
      <c r="D90" t="s">
        <v>47</v>
      </c>
      <c r="E90" t="s">
        <v>452</v>
      </c>
      <c r="F90" t="s">
        <v>454</v>
      </c>
      <c r="G90" s="4">
        <v>94054900</v>
      </c>
      <c r="H90" s="4">
        <v>10</v>
      </c>
      <c r="I90" s="4">
        <v>183.9</v>
      </c>
      <c r="J90" s="4">
        <f t="shared" si="4"/>
        <v>1839</v>
      </c>
      <c r="K90">
        <f t="shared" si="5"/>
        <v>165.51</v>
      </c>
      <c r="L90">
        <f t="shared" si="6"/>
        <v>165.51</v>
      </c>
      <c r="M90">
        <f t="shared" si="7"/>
        <v>2170</v>
      </c>
    </row>
    <row r="91" spans="1:13" x14ac:dyDescent="0.25">
      <c r="A91" s="4">
        <v>209</v>
      </c>
      <c r="B91" s="3">
        <v>46093</v>
      </c>
      <c r="C91" t="s">
        <v>151</v>
      </c>
      <c r="D91" t="s">
        <v>32</v>
      </c>
      <c r="E91" t="s">
        <v>452</v>
      </c>
      <c r="F91" t="s">
        <v>454</v>
      </c>
      <c r="G91" s="4">
        <v>94054900</v>
      </c>
      <c r="H91" s="4">
        <v>2</v>
      </c>
      <c r="I91" s="4">
        <v>492.37</v>
      </c>
      <c r="J91" s="4">
        <f t="shared" si="4"/>
        <v>984.74</v>
      </c>
      <c r="K91">
        <f t="shared" si="5"/>
        <v>88.626599999999996</v>
      </c>
      <c r="L91">
        <f t="shared" si="6"/>
        <v>88.626599999999996</v>
      </c>
      <c r="M91">
        <f t="shared" si="7"/>
        <v>1162</v>
      </c>
    </row>
    <row r="92" spans="1:13" x14ac:dyDescent="0.25">
      <c r="A92" s="4">
        <v>209</v>
      </c>
      <c r="B92" s="3">
        <v>46093</v>
      </c>
      <c r="C92" t="s">
        <v>151</v>
      </c>
      <c r="D92" t="s">
        <v>55</v>
      </c>
      <c r="E92" t="s">
        <v>452</v>
      </c>
      <c r="F92" t="s">
        <v>454</v>
      </c>
      <c r="G92" s="4">
        <v>94054900</v>
      </c>
      <c r="H92" s="4">
        <v>2</v>
      </c>
      <c r="I92" s="4">
        <v>803.39</v>
      </c>
      <c r="J92" s="4">
        <f t="shared" si="4"/>
        <v>1606.78</v>
      </c>
      <c r="K92">
        <f t="shared" si="5"/>
        <v>144.61019999999999</v>
      </c>
      <c r="L92">
        <f t="shared" si="6"/>
        <v>144.61019999999999</v>
      </c>
      <c r="M92">
        <f t="shared" si="7"/>
        <v>1896</v>
      </c>
    </row>
    <row r="93" spans="1:13" x14ac:dyDescent="0.25">
      <c r="A93" s="4">
        <v>209</v>
      </c>
      <c r="B93" s="3">
        <v>46093</v>
      </c>
      <c r="C93" t="s">
        <v>151</v>
      </c>
      <c r="D93" t="s">
        <v>152</v>
      </c>
      <c r="E93" t="s">
        <v>452</v>
      </c>
      <c r="F93" t="s">
        <v>454</v>
      </c>
      <c r="G93" s="4">
        <v>94054900</v>
      </c>
      <c r="H93" s="4">
        <v>2</v>
      </c>
      <c r="I93" s="4">
        <v>803.39</v>
      </c>
      <c r="J93" s="4">
        <f t="shared" si="4"/>
        <v>1606.78</v>
      </c>
      <c r="K93">
        <f t="shared" si="5"/>
        <v>144.61019999999999</v>
      </c>
      <c r="L93">
        <f t="shared" si="6"/>
        <v>144.61019999999999</v>
      </c>
      <c r="M93">
        <f t="shared" si="7"/>
        <v>1896</v>
      </c>
    </row>
    <row r="94" spans="1:13" x14ac:dyDescent="0.25">
      <c r="A94" s="4">
        <v>209</v>
      </c>
      <c r="B94" s="3">
        <v>46093</v>
      </c>
      <c r="C94" t="s">
        <v>151</v>
      </c>
      <c r="D94" t="s">
        <v>140</v>
      </c>
      <c r="E94" t="s">
        <v>452</v>
      </c>
      <c r="F94" t="s">
        <v>454</v>
      </c>
      <c r="G94" s="4">
        <v>94054900</v>
      </c>
      <c r="H94" s="4">
        <v>10</v>
      </c>
      <c r="I94" s="4">
        <v>114.41</v>
      </c>
      <c r="J94" s="4">
        <f t="shared" si="4"/>
        <v>1144.0999999999999</v>
      </c>
      <c r="K94">
        <f t="shared" si="5"/>
        <v>102.96899999999999</v>
      </c>
      <c r="L94">
        <f t="shared" si="6"/>
        <v>102.96899999999999</v>
      </c>
      <c r="M94">
        <f t="shared" si="7"/>
        <v>1350</v>
      </c>
    </row>
    <row r="95" spans="1:13" x14ac:dyDescent="0.25">
      <c r="A95" s="4">
        <v>209</v>
      </c>
      <c r="B95" s="3">
        <v>46093</v>
      </c>
      <c r="C95" t="s">
        <v>151</v>
      </c>
      <c r="D95" t="s">
        <v>33</v>
      </c>
      <c r="E95" t="s">
        <v>452</v>
      </c>
      <c r="F95" t="s">
        <v>453</v>
      </c>
      <c r="G95" s="4">
        <v>84145120</v>
      </c>
      <c r="H95" s="4">
        <v>1</v>
      </c>
      <c r="I95" s="4">
        <v>1906.78</v>
      </c>
      <c r="J95" s="4">
        <f t="shared" si="4"/>
        <v>1906.78</v>
      </c>
      <c r="K95">
        <f t="shared" si="5"/>
        <v>171.61019999999999</v>
      </c>
      <c r="L95">
        <f t="shared" si="6"/>
        <v>171.61019999999999</v>
      </c>
      <c r="M95">
        <f t="shared" si="7"/>
        <v>2250</v>
      </c>
    </row>
    <row r="96" spans="1:13" x14ac:dyDescent="0.25">
      <c r="A96" s="4">
        <v>1172</v>
      </c>
      <c r="B96" s="3">
        <v>46092</v>
      </c>
      <c r="C96" t="s">
        <v>112</v>
      </c>
      <c r="D96" t="s">
        <v>50</v>
      </c>
      <c r="E96" t="s">
        <v>452</v>
      </c>
      <c r="F96" t="s">
        <v>453</v>
      </c>
      <c r="G96" s="4">
        <v>84145120</v>
      </c>
      <c r="H96">
        <v>1</v>
      </c>
      <c r="I96" s="4">
        <v>1144.07</v>
      </c>
      <c r="J96" s="4">
        <f t="shared" si="4"/>
        <v>1144.07</v>
      </c>
      <c r="K96">
        <f t="shared" si="5"/>
        <v>102.96629999999999</v>
      </c>
      <c r="L96">
        <f t="shared" si="6"/>
        <v>102.96629999999999</v>
      </c>
      <c r="M96">
        <f t="shared" si="7"/>
        <v>1350</v>
      </c>
    </row>
    <row r="97" spans="1:13" x14ac:dyDescent="0.25">
      <c r="A97" s="4">
        <v>208</v>
      </c>
      <c r="B97" s="3">
        <v>46092</v>
      </c>
      <c r="C97" t="s">
        <v>38</v>
      </c>
      <c r="D97" t="s">
        <v>54</v>
      </c>
      <c r="E97" t="s">
        <v>452</v>
      </c>
      <c r="F97" t="s">
        <v>454</v>
      </c>
      <c r="G97" s="4">
        <v>94054900</v>
      </c>
      <c r="H97">
        <v>10</v>
      </c>
      <c r="I97">
        <v>119.49</v>
      </c>
      <c r="J97" s="4">
        <f t="shared" si="4"/>
        <v>1194.8999999999999</v>
      </c>
      <c r="K97">
        <f t="shared" si="5"/>
        <v>107.54099999999998</v>
      </c>
      <c r="L97">
        <f t="shared" si="6"/>
        <v>107.54099999999998</v>
      </c>
      <c r="M97">
        <f t="shared" si="7"/>
        <v>1410</v>
      </c>
    </row>
    <row r="98" spans="1:13" x14ac:dyDescent="0.25">
      <c r="A98" s="4">
        <v>1180</v>
      </c>
      <c r="B98" s="3">
        <v>46091</v>
      </c>
      <c r="C98" t="s">
        <v>129</v>
      </c>
      <c r="D98" t="s">
        <v>74</v>
      </c>
      <c r="E98" t="s">
        <v>452</v>
      </c>
      <c r="F98" t="s">
        <v>454</v>
      </c>
      <c r="G98" s="4">
        <v>94054900</v>
      </c>
      <c r="H98">
        <v>30</v>
      </c>
      <c r="I98">
        <v>127.12</v>
      </c>
      <c r="J98" s="4">
        <f t="shared" si="4"/>
        <v>3813.6000000000004</v>
      </c>
      <c r="K98">
        <f t="shared" si="5"/>
        <v>343.22400000000005</v>
      </c>
      <c r="L98">
        <f t="shared" si="6"/>
        <v>343.22400000000005</v>
      </c>
      <c r="M98">
        <f t="shared" si="7"/>
        <v>4500</v>
      </c>
    </row>
    <row r="99" spans="1:13" x14ac:dyDescent="0.25">
      <c r="A99" s="4">
        <v>203</v>
      </c>
      <c r="B99" s="3">
        <v>46091</v>
      </c>
      <c r="C99" t="s">
        <v>20</v>
      </c>
      <c r="D99" t="s">
        <v>18</v>
      </c>
      <c r="E99" t="s">
        <v>452</v>
      </c>
      <c r="F99" t="s">
        <v>454</v>
      </c>
      <c r="G99" s="4">
        <v>94054900</v>
      </c>
      <c r="H99" s="4">
        <v>2</v>
      </c>
      <c r="I99" s="4">
        <v>271.19</v>
      </c>
      <c r="J99" s="4">
        <f t="shared" si="4"/>
        <v>542.38</v>
      </c>
      <c r="K99">
        <f t="shared" si="5"/>
        <v>48.8142</v>
      </c>
      <c r="L99">
        <f t="shared" si="6"/>
        <v>48.8142</v>
      </c>
      <c r="M99">
        <f t="shared" si="7"/>
        <v>640</v>
      </c>
    </row>
    <row r="100" spans="1:13" x14ac:dyDescent="0.25">
      <c r="A100" s="4">
        <v>205</v>
      </c>
      <c r="B100" s="3">
        <v>46091</v>
      </c>
      <c r="C100" t="s">
        <v>25</v>
      </c>
      <c r="D100" t="s">
        <v>140</v>
      </c>
      <c r="E100" t="s">
        <v>452</v>
      </c>
      <c r="F100" t="s">
        <v>454</v>
      </c>
      <c r="G100" s="4">
        <v>94054900</v>
      </c>
      <c r="H100" s="4">
        <v>10</v>
      </c>
      <c r="I100" s="4">
        <v>114.41</v>
      </c>
      <c r="J100" s="4">
        <f t="shared" si="4"/>
        <v>1144.0999999999999</v>
      </c>
      <c r="K100">
        <f t="shared" si="5"/>
        <v>102.96899999999999</v>
      </c>
      <c r="L100">
        <f t="shared" si="6"/>
        <v>102.96899999999999</v>
      </c>
      <c r="M100">
        <f t="shared" si="7"/>
        <v>1350</v>
      </c>
    </row>
    <row r="101" spans="1:13" x14ac:dyDescent="0.25">
      <c r="A101" s="4">
        <v>206</v>
      </c>
      <c r="B101" s="3">
        <v>46091</v>
      </c>
      <c r="C101" t="s">
        <v>65</v>
      </c>
      <c r="D101" t="s">
        <v>72</v>
      </c>
      <c r="E101" t="s">
        <v>452</v>
      </c>
      <c r="F101" t="s">
        <v>454</v>
      </c>
      <c r="G101" s="4">
        <v>94054900</v>
      </c>
      <c r="H101" s="4">
        <v>5</v>
      </c>
      <c r="I101" s="4">
        <v>211.86</v>
      </c>
      <c r="J101" s="4">
        <f t="shared" si="4"/>
        <v>1059.3000000000002</v>
      </c>
      <c r="K101">
        <f t="shared" si="5"/>
        <v>95.337000000000018</v>
      </c>
      <c r="L101">
        <f t="shared" si="6"/>
        <v>95.337000000000018</v>
      </c>
      <c r="M101">
        <f t="shared" si="7"/>
        <v>1250</v>
      </c>
    </row>
    <row r="102" spans="1:13" x14ac:dyDescent="0.25">
      <c r="A102" s="4">
        <v>206</v>
      </c>
      <c r="B102" s="3">
        <v>46091</v>
      </c>
      <c r="C102" t="s">
        <v>65</v>
      </c>
      <c r="D102" t="s">
        <v>140</v>
      </c>
      <c r="E102" t="s">
        <v>452</v>
      </c>
      <c r="F102" t="s">
        <v>454</v>
      </c>
      <c r="G102" s="4">
        <v>94054900</v>
      </c>
      <c r="H102" s="4">
        <v>5</v>
      </c>
      <c r="I102" s="4">
        <v>114.41</v>
      </c>
      <c r="J102" s="4">
        <f t="shared" si="4"/>
        <v>572.04999999999995</v>
      </c>
      <c r="K102">
        <f t="shared" si="5"/>
        <v>51.484499999999997</v>
      </c>
      <c r="L102">
        <f t="shared" si="6"/>
        <v>51.484499999999997</v>
      </c>
      <c r="M102">
        <f t="shared" si="7"/>
        <v>675</v>
      </c>
    </row>
    <row r="103" spans="1:13" x14ac:dyDescent="0.25">
      <c r="A103" s="4">
        <v>207</v>
      </c>
      <c r="B103" s="3">
        <v>46091</v>
      </c>
      <c r="C103" t="s">
        <v>153</v>
      </c>
      <c r="D103" t="s">
        <v>47</v>
      </c>
      <c r="E103" t="s">
        <v>452</v>
      </c>
      <c r="F103" t="s">
        <v>454</v>
      </c>
      <c r="G103" s="4">
        <v>94054900</v>
      </c>
      <c r="H103">
        <v>5</v>
      </c>
      <c r="I103">
        <v>186.44</v>
      </c>
      <c r="J103" s="4">
        <f t="shared" si="4"/>
        <v>932.2</v>
      </c>
      <c r="K103">
        <f t="shared" si="5"/>
        <v>83.897999999999996</v>
      </c>
      <c r="L103">
        <f t="shared" si="6"/>
        <v>83.897999999999996</v>
      </c>
      <c r="M103">
        <f t="shared" si="7"/>
        <v>1100</v>
      </c>
    </row>
    <row r="104" spans="1:13" x14ac:dyDescent="0.25">
      <c r="A104" s="4">
        <v>207</v>
      </c>
      <c r="B104" s="3">
        <v>46091</v>
      </c>
      <c r="C104" t="s">
        <v>153</v>
      </c>
      <c r="D104" t="s">
        <v>35</v>
      </c>
      <c r="E104" t="s">
        <v>452</v>
      </c>
      <c r="F104" t="s">
        <v>454</v>
      </c>
      <c r="G104" s="4">
        <v>94054900</v>
      </c>
      <c r="H104">
        <v>100</v>
      </c>
      <c r="I104">
        <v>23.73</v>
      </c>
      <c r="J104" s="4">
        <f t="shared" si="4"/>
        <v>2373</v>
      </c>
      <c r="K104">
        <f t="shared" si="5"/>
        <v>213.57</v>
      </c>
      <c r="L104">
        <f t="shared" si="6"/>
        <v>213.57</v>
      </c>
      <c r="M104">
        <f t="shared" si="7"/>
        <v>2800.1</v>
      </c>
    </row>
    <row r="105" spans="1:13" x14ac:dyDescent="0.25">
      <c r="A105" s="4">
        <v>204</v>
      </c>
      <c r="B105" s="3">
        <v>46088</v>
      </c>
      <c r="C105" t="s">
        <v>22</v>
      </c>
      <c r="D105" t="s">
        <v>44</v>
      </c>
      <c r="E105" t="s">
        <v>452</v>
      </c>
      <c r="F105" t="s">
        <v>454</v>
      </c>
      <c r="G105" s="4">
        <v>94054900</v>
      </c>
      <c r="H105" s="4">
        <v>6</v>
      </c>
      <c r="I105" s="4">
        <v>184.75</v>
      </c>
      <c r="J105" s="4">
        <f t="shared" si="4"/>
        <v>1108.5</v>
      </c>
      <c r="K105">
        <f t="shared" si="5"/>
        <v>99.765000000000001</v>
      </c>
      <c r="L105">
        <f t="shared" si="6"/>
        <v>99.765000000000001</v>
      </c>
      <c r="M105">
        <f t="shared" si="7"/>
        <v>1308</v>
      </c>
    </row>
    <row r="106" spans="1:13" x14ac:dyDescent="0.25">
      <c r="A106" s="4">
        <v>204</v>
      </c>
      <c r="B106" s="3">
        <v>46088</v>
      </c>
      <c r="C106" t="s">
        <v>22</v>
      </c>
      <c r="D106" t="s">
        <v>140</v>
      </c>
      <c r="E106" t="s">
        <v>452</v>
      </c>
      <c r="F106" t="s">
        <v>454</v>
      </c>
      <c r="G106" s="4">
        <v>94054900</v>
      </c>
      <c r="H106" s="4">
        <v>6</v>
      </c>
      <c r="I106" s="4">
        <v>114.41</v>
      </c>
      <c r="J106" s="4">
        <f t="shared" si="4"/>
        <v>686.46</v>
      </c>
      <c r="K106">
        <f t="shared" si="5"/>
        <v>61.781399999999998</v>
      </c>
      <c r="L106">
        <f t="shared" si="6"/>
        <v>61.781399999999998</v>
      </c>
      <c r="M106">
        <f t="shared" si="7"/>
        <v>810</v>
      </c>
    </row>
    <row r="107" spans="1:13" x14ac:dyDescent="0.25">
      <c r="A107" s="4">
        <v>1179</v>
      </c>
      <c r="B107" s="3">
        <v>46087</v>
      </c>
      <c r="C107" t="s">
        <v>137</v>
      </c>
      <c r="D107" t="s">
        <v>73</v>
      </c>
      <c r="E107" t="s">
        <v>452</v>
      </c>
      <c r="F107" t="s">
        <v>454</v>
      </c>
      <c r="G107" s="4">
        <v>94054900</v>
      </c>
      <c r="H107">
        <v>10</v>
      </c>
      <c r="I107">
        <v>449.15</v>
      </c>
      <c r="J107" s="4">
        <f t="shared" si="4"/>
        <v>4491.5</v>
      </c>
      <c r="K107">
        <f t="shared" si="5"/>
        <v>404.23499999999996</v>
      </c>
      <c r="L107">
        <f t="shared" si="6"/>
        <v>404.23499999999996</v>
      </c>
      <c r="M107">
        <f t="shared" si="7"/>
        <v>5300</v>
      </c>
    </row>
    <row r="108" spans="1:13" x14ac:dyDescent="0.25">
      <c r="A108" s="4">
        <v>1179</v>
      </c>
      <c r="B108" s="3">
        <v>46087</v>
      </c>
      <c r="C108" t="s">
        <v>137</v>
      </c>
      <c r="D108" t="s">
        <v>55</v>
      </c>
      <c r="E108" t="s">
        <v>452</v>
      </c>
      <c r="F108" t="s">
        <v>454</v>
      </c>
      <c r="G108" s="4">
        <v>94054900</v>
      </c>
      <c r="H108">
        <v>5</v>
      </c>
      <c r="I108">
        <v>720.34</v>
      </c>
      <c r="J108" s="4">
        <f t="shared" si="4"/>
        <v>3601.7000000000003</v>
      </c>
      <c r="K108">
        <f t="shared" si="5"/>
        <v>324.15300000000002</v>
      </c>
      <c r="L108">
        <f t="shared" si="6"/>
        <v>324.15300000000002</v>
      </c>
      <c r="M108">
        <f t="shared" si="7"/>
        <v>4250</v>
      </c>
    </row>
    <row r="109" spans="1:13" x14ac:dyDescent="0.25">
      <c r="A109" s="4">
        <v>1179</v>
      </c>
      <c r="B109" s="3">
        <v>46087</v>
      </c>
      <c r="C109" t="s">
        <v>137</v>
      </c>
      <c r="D109" t="s">
        <v>138</v>
      </c>
      <c r="E109" t="s">
        <v>452</v>
      </c>
      <c r="F109" t="s">
        <v>454</v>
      </c>
      <c r="G109" s="4">
        <v>94054900</v>
      </c>
      <c r="H109">
        <v>2</v>
      </c>
      <c r="I109">
        <v>1567.8</v>
      </c>
      <c r="J109" s="4">
        <f t="shared" si="4"/>
        <v>3135.6</v>
      </c>
      <c r="K109">
        <f t="shared" si="5"/>
        <v>282.20400000000001</v>
      </c>
      <c r="L109">
        <f t="shared" si="6"/>
        <v>282.20400000000001</v>
      </c>
      <c r="M109">
        <f t="shared" si="7"/>
        <v>3700</v>
      </c>
    </row>
    <row r="110" spans="1:13" x14ac:dyDescent="0.25">
      <c r="A110" s="4">
        <v>1300</v>
      </c>
      <c r="B110" s="3">
        <v>46087</v>
      </c>
      <c r="C110" t="s">
        <v>22</v>
      </c>
      <c r="D110" t="s">
        <v>47</v>
      </c>
      <c r="E110" t="s">
        <v>452</v>
      </c>
      <c r="F110" t="s">
        <v>454</v>
      </c>
      <c r="G110" s="4">
        <v>94054900</v>
      </c>
      <c r="H110">
        <v>6</v>
      </c>
      <c r="I110">
        <v>183.9</v>
      </c>
      <c r="J110" s="4">
        <f t="shared" si="4"/>
        <v>1103.4000000000001</v>
      </c>
      <c r="K110">
        <f t="shared" si="5"/>
        <v>99.306000000000012</v>
      </c>
      <c r="L110">
        <f t="shared" si="6"/>
        <v>99.306000000000012</v>
      </c>
      <c r="M110">
        <f t="shared" si="7"/>
        <v>1302</v>
      </c>
    </row>
    <row r="111" spans="1:13" x14ac:dyDescent="0.25">
      <c r="A111" s="4">
        <v>201</v>
      </c>
      <c r="B111" s="3">
        <v>46087</v>
      </c>
      <c r="C111" t="s">
        <v>25</v>
      </c>
      <c r="D111" t="s">
        <v>47</v>
      </c>
      <c r="E111" t="s">
        <v>452</v>
      </c>
      <c r="F111" t="s">
        <v>454</v>
      </c>
      <c r="G111" s="4">
        <v>94054900</v>
      </c>
      <c r="H111">
        <v>5</v>
      </c>
      <c r="I111">
        <v>183.9</v>
      </c>
      <c r="J111" s="4">
        <f t="shared" si="4"/>
        <v>919.5</v>
      </c>
      <c r="K111">
        <f t="shared" si="5"/>
        <v>82.754999999999995</v>
      </c>
      <c r="L111">
        <f t="shared" si="6"/>
        <v>82.754999999999995</v>
      </c>
      <c r="M111">
        <f t="shared" si="7"/>
        <v>1085</v>
      </c>
    </row>
    <row r="112" spans="1:13" x14ac:dyDescent="0.25">
      <c r="A112" s="4">
        <v>202</v>
      </c>
      <c r="B112" s="3">
        <v>46087</v>
      </c>
      <c r="C112" t="s">
        <v>146</v>
      </c>
      <c r="D112" t="s">
        <v>47</v>
      </c>
      <c r="E112" t="s">
        <v>452</v>
      </c>
      <c r="F112" t="s">
        <v>454</v>
      </c>
      <c r="G112" s="4">
        <v>94054900</v>
      </c>
      <c r="H112">
        <v>20</v>
      </c>
      <c r="I112">
        <v>183.9</v>
      </c>
      <c r="J112" s="4">
        <f t="shared" si="4"/>
        <v>3678</v>
      </c>
      <c r="K112">
        <f t="shared" si="5"/>
        <v>331.02</v>
      </c>
      <c r="L112">
        <f t="shared" si="6"/>
        <v>331.02</v>
      </c>
      <c r="M112">
        <f t="shared" si="7"/>
        <v>4340</v>
      </c>
    </row>
    <row r="113" spans="1:13" x14ac:dyDescent="0.25">
      <c r="A113" s="4">
        <v>1298</v>
      </c>
      <c r="B113" s="3">
        <v>46086</v>
      </c>
      <c r="C113" t="s">
        <v>41</v>
      </c>
      <c r="D113" t="s">
        <v>35</v>
      </c>
      <c r="E113" t="s">
        <v>452</v>
      </c>
      <c r="F113" t="s">
        <v>454</v>
      </c>
      <c r="G113" s="4">
        <v>94054900</v>
      </c>
      <c r="H113" s="4">
        <v>100</v>
      </c>
      <c r="I113" s="4">
        <v>23.73</v>
      </c>
      <c r="J113" s="4">
        <f t="shared" si="4"/>
        <v>2373</v>
      </c>
      <c r="K113">
        <f t="shared" si="5"/>
        <v>213.57</v>
      </c>
      <c r="L113">
        <f t="shared" si="6"/>
        <v>213.57</v>
      </c>
      <c r="M113">
        <f t="shared" si="7"/>
        <v>2800.1</v>
      </c>
    </row>
    <row r="114" spans="1:13" x14ac:dyDescent="0.25">
      <c r="A114" s="4">
        <v>1299</v>
      </c>
      <c r="B114" s="3">
        <v>46086</v>
      </c>
      <c r="C114" t="s">
        <v>151</v>
      </c>
      <c r="D114" t="s">
        <v>47</v>
      </c>
      <c r="E114" t="s">
        <v>452</v>
      </c>
      <c r="F114" t="s">
        <v>454</v>
      </c>
      <c r="G114" s="4">
        <v>94054900</v>
      </c>
      <c r="H114">
        <v>6</v>
      </c>
      <c r="I114">
        <v>183.9</v>
      </c>
      <c r="J114" s="4">
        <f t="shared" si="4"/>
        <v>1103.4000000000001</v>
      </c>
      <c r="K114">
        <f t="shared" si="5"/>
        <v>99.306000000000012</v>
      </c>
      <c r="L114">
        <f t="shared" si="6"/>
        <v>99.306000000000012</v>
      </c>
      <c r="M114">
        <f t="shared" si="7"/>
        <v>1302</v>
      </c>
    </row>
    <row r="115" spans="1:13" x14ac:dyDescent="0.25">
      <c r="A115" s="4">
        <v>1299</v>
      </c>
      <c r="B115" s="3">
        <v>46086</v>
      </c>
      <c r="C115" t="s">
        <v>151</v>
      </c>
      <c r="D115" t="s">
        <v>18</v>
      </c>
      <c r="E115" t="s">
        <v>452</v>
      </c>
      <c r="F115" t="s">
        <v>454</v>
      </c>
      <c r="G115" s="4">
        <v>94054900</v>
      </c>
      <c r="H115">
        <v>10</v>
      </c>
      <c r="I115">
        <v>264.41000000000003</v>
      </c>
      <c r="J115" s="4">
        <f t="shared" si="4"/>
        <v>2644.1000000000004</v>
      </c>
      <c r="K115">
        <f t="shared" si="5"/>
        <v>237.96900000000002</v>
      </c>
      <c r="L115">
        <f t="shared" si="6"/>
        <v>237.96900000000002</v>
      </c>
      <c r="M115">
        <f t="shared" si="7"/>
        <v>3120</v>
      </c>
    </row>
    <row r="116" spans="1:13" x14ac:dyDescent="0.25">
      <c r="A116" s="4">
        <v>1299</v>
      </c>
      <c r="B116" s="3">
        <v>46086</v>
      </c>
      <c r="C116" t="s">
        <v>151</v>
      </c>
      <c r="D116" t="s">
        <v>36</v>
      </c>
      <c r="E116" t="s">
        <v>452</v>
      </c>
      <c r="F116" t="s">
        <v>454</v>
      </c>
      <c r="G116" s="4">
        <v>94054900</v>
      </c>
      <c r="H116">
        <v>5</v>
      </c>
      <c r="I116">
        <v>322.02999999999997</v>
      </c>
      <c r="J116" s="4">
        <f t="shared" si="4"/>
        <v>1610.1499999999999</v>
      </c>
      <c r="K116">
        <f t="shared" si="5"/>
        <v>144.91349999999997</v>
      </c>
      <c r="L116">
        <f t="shared" si="6"/>
        <v>144.91349999999997</v>
      </c>
      <c r="M116">
        <f t="shared" si="7"/>
        <v>1900</v>
      </c>
    </row>
    <row r="117" spans="1:13" x14ac:dyDescent="0.25">
      <c r="A117" s="4">
        <v>1299</v>
      </c>
      <c r="B117" s="3">
        <v>46086</v>
      </c>
      <c r="C117" t="s">
        <v>151</v>
      </c>
      <c r="D117" t="s">
        <v>138</v>
      </c>
      <c r="E117" t="s">
        <v>452</v>
      </c>
      <c r="F117" t="s">
        <v>454</v>
      </c>
      <c r="G117" s="4">
        <v>94054900</v>
      </c>
      <c r="H117">
        <v>2</v>
      </c>
      <c r="I117">
        <v>1642.37</v>
      </c>
      <c r="J117" s="4">
        <f t="shared" si="4"/>
        <v>3284.74</v>
      </c>
      <c r="K117">
        <f t="shared" si="5"/>
        <v>295.6266</v>
      </c>
      <c r="L117">
        <f t="shared" si="6"/>
        <v>295.6266</v>
      </c>
      <c r="M117">
        <f t="shared" si="7"/>
        <v>3876</v>
      </c>
    </row>
    <row r="118" spans="1:13" x14ac:dyDescent="0.25">
      <c r="A118" s="4">
        <v>1293</v>
      </c>
      <c r="B118" s="3">
        <v>46082</v>
      </c>
      <c r="C118" t="s">
        <v>17</v>
      </c>
      <c r="D118" t="s">
        <v>47</v>
      </c>
      <c r="E118" t="s">
        <v>452</v>
      </c>
      <c r="F118" t="s">
        <v>454</v>
      </c>
      <c r="G118" s="4">
        <v>94054900</v>
      </c>
      <c r="H118">
        <v>14</v>
      </c>
      <c r="I118">
        <v>183.9</v>
      </c>
      <c r="J118" s="4">
        <f t="shared" si="4"/>
        <v>2574.6</v>
      </c>
      <c r="K118">
        <f t="shared" si="5"/>
        <v>231.71399999999997</v>
      </c>
      <c r="L118">
        <f t="shared" si="6"/>
        <v>231.71399999999997</v>
      </c>
      <c r="M118">
        <f t="shared" si="7"/>
        <v>3038</v>
      </c>
    </row>
    <row r="119" spans="1:13" x14ac:dyDescent="0.25">
      <c r="A119" s="4">
        <v>1294</v>
      </c>
      <c r="B119" s="3">
        <v>46082</v>
      </c>
      <c r="C119" t="s">
        <v>153</v>
      </c>
      <c r="D119" t="s">
        <v>47</v>
      </c>
      <c r="E119" t="s">
        <v>452</v>
      </c>
      <c r="F119" t="s">
        <v>454</v>
      </c>
      <c r="G119" s="4">
        <v>94054900</v>
      </c>
      <c r="H119">
        <v>5</v>
      </c>
      <c r="I119">
        <v>186.44</v>
      </c>
      <c r="J119" s="4">
        <f t="shared" si="4"/>
        <v>932.2</v>
      </c>
      <c r="K119">
        <f t="shared" si="5"/>
        <v>83.897999999999996</v>
      </c>
      <c r="L119">
        <f t="shared" si="6"/>
        <v>83.897999999999996</v>
      </c>
      <c r="M119">
        <f t="shared" si="7"/>
        <v>1100</v>
      </c>
    </row>
    <row r="120" spans="1:13" x14ac:dyDescent="0.25">
      <c r="A120" s="4">
        <v>1295</v>
      </c>
      <c r="B120" s="3">
        <v>46082</v>
      </c>
      <c r="C120" t="s">
        <v>25</v>
      </c>
      <c r="D120" t="s">
        <v>26</v>
      </c>
      <c r="E120" t="s">
        <v>452</v>
      </c>
      <c r="F120" t="s">
        <v>454</v>
      </c>
      <c r="G120" s="4">
        <v>94054900</v>
      </c>
      <c r="H120" s="4">
        <v>10</v>
      </c>
      <c r="I120" s="4">
        <v>50.85</v>
      </c>
      <c r="J120" s="4">
        <f t="shared" si="4"/>
        <v>508.5</v>
      </c>
      <c r="K120">
        <f t="shared" si="5"/>
        <v>45.765000000000001</v>
      </c>
      <c r="L120">
        <f t="shared" si="6"/>
        <v>45.765000000000001</v>
      </c>
      <c r="M120">
        <f t="shared" si="7"/>
        <v>600</v>
      </c>
    </row>
    <row r="121" spans="1:13" x14ac:dyDescent="0.25">
      <c r="A121" s="4">
        <v>1296</v>
      </c>
      <c r="B121" s="3">
        <v>46082</v>
      </c>
      <c r="C121" t="s">
        <v>51</v>
      </c>
      <c r="D121" t="s">
        <v>35</v>
      </c>
      <c r="E121" t="s">
        <v>452</v>
      </c>
      <c r="F121" t="s">
        <v>454</v>
      </c>
      <c r="G121" s="4">
        <v>94054900</v>
      </c>
      <c r="H121">
        <v>540</v>
      </c>
      <c r="I121">
        <v>20.34</v>
      </c>
      <c r="J121" s="4">
        <f t="shared" si="4"/>
        <v>10983.6</v>
      </c>
      <c r="K121">
        <f t="shared" si="5"/>
        <v>988.524</v>
      </c>
      <c r="L121">
        <f t="shared" si="6"/>
        <v>988.524</v>
      </c>
      <c r="M121">
        <f t="shared" si="7"/>
        <v>12960.6</v>
      </c>
    </row>
    <row r="122" spans="1:13" x14ac:dyDescent="0.25">
      <c r="A122" s="4">
        <v>1296</v>
      </c>
      <c r="B122" s="3">
        <v>46082</v>
      </c>
      <c r="C122" t="s">
        <v>51</v>
      </c>
      <c r="D122" t="s">
        <v>18</v>
      </c>
      <c r="E122" t="s">
        <v>452</v>
      </c>
      <c r="F122" t="s">
        <v>454</v>
      </c>
      <c r="G122" s="4">
        <v>94054900</v>
      </c>
      <c r="H122">
        <v>5</v>
      </c>
      <c r="I122">
        <v>266.95</v>
      </c>
      <c r="J122" s="4">
        <f t="shared" si="4"/>
        <v>1334.75</v>
      </c>
      <c r="K122">
        <f t="shared" si="5"/>
        <v>120.1275</v>
      </c>
      <c r="L122">
        <f t="shared" si="6"/>
        <v>120.1275</v>
      </c>
      <c r="M122">
        <f t="shared" si="7"/>
        <v>1575</v>
      </c>
    </row>
    <row r="123" spans="1:13" x14ac:dyDescent="0.25">
      <c r="A123" s="4">
        <v>1296</v>
      </c>
      <c r="B123" s="3">
        <v>46082</v>
      </c>
      <c r="C123" t="s">
        <v>51</v>
      </c>
      <c r="D123" t="s">
        <v>68</v>
      </c>
      <c r="E123" t="s">
        <v>452</v>
      </c>
      <c r="F123" t="s">
        <v>454</v>
      </c>
      <c r="G123" s="4">
        <v>94054900</v>
      </c>
      <c r="H123">
        <v>2</v>
      </c>
      <c r="I123">
        <v>389.83</v>
      </c>
      <c r="J123" s="4">
        <f t="shared" si="4"/>
        <v>779.66</v>
      </c>
      <c r="K123">
        <f t="shared" si="5"/>
        <v>70.169399999999996</v>
      </c>
      <c r="L123">
        <f t="shared" si="6"/>
        <v>70.169399999999996</v>
      </c>
      <c r="M123">
        <f t="shared" si="7"/>
        <v>920</v>
      </c>
    </row>
    <row r="124" spans="1:13" x14ac:dyDescent="0.25">
      <c r="A124" s="4">
        <v>1296</v>
      </c>
      <c r="B124" s="3">
        <v>46082</v>
      </c>
      <c r="C124" t="s">
        <v>51</v>
      </c>
      <c r="D124" t="s">
        <v>136</v>
      </c>
      <c r="E124" t="s">
        <v>452</v>
      </c>
      <c r="F124" t="s">
        <v>454</v>
      </c>
      <c r="G124" s="4">
        <v>94054900</v>
      </c>
      <c r="H124">
        <v>2</v>
      </c>
      <c r="I124">
        <v>508.47</v>
      </c>
      <c r="J124" s="4">
        <f t="shared" si="4"/>
        <v>1016.94</v>
      </c>
      <c r="K124">
        <f t="shared" si="5"/>
        <v>91.524600000000007</v>
      </c>
      <c r="L124">
        <f t="shared" si="6"/>
        <v>91.524600000000007</v>
      </c>
      <c r="M124">
        <f t="shared" si="7"/>
        <v>1200</v>
      </c>
    </row>
    <row r="125" spans="1:13" x14ac:dyDescent="0.25">
      <c r="A125" s="4">
        <v>1297</v>
      </c>
      <c r="B125" s="3">
        <v>46082</v>
      </c>
      <c r="C125" t="s">
        <v>22</v>
      </c>
      <c r="D125" t="s">
        <v>35</v>
      </c>
      <c r="E125" t="s">
        <v>452</v>
      </c>
      <c r="F125" t="s">
        <v>454</v>
      </c>
      <c r="G125" s="4">
        <v>94054900</v>
      </c>
      <c r="H125">
        <v>60</v>
      </c>
      <c r="I125">
        <v>23.73</v>
      </c>
      <c r="J125" s="4">
        <f t="shared" si="4"/>
        <v>1423.8</v>
      </c>
      <c r="K125">
        <f t="shared" si="5"/>
        <v>128.142</v>
      </c>
      <c r="L125">
        <f t="shared" si="6"/>
        <v>128.142</v>
      </c>
      <c r="M125">
        <f t="shared" si="7"/>
        <v>1680.1</v>
      </c>
    </row>
    <row r="126" spans="1:13" x14ac:dyDescent="0.25">
      <c r="A126" s="4">
        <v>1297</v>
      </c>
      <c r="B126" s="3">
        <v>46082</v>
      </c>
      <c r="C126" t="s">
        <v>22</v>
      </c>
      <c r="D126" t="s">
        <v>16</v>
      </c>
      <c r="E126" t="s">
        <v>452</v>
      </c>
      <c r="F126" t="s">
        <v>454</v>
      </c>
      <c r="G126" s="4">
        <v>94054900</v>
      </c>
      <c r="H126">
        <v>6</v>
      </c>
      <c r="I126">
        <v>186.44</v>
      </c>
      <c r="J126" s="4">
        <f t="shared" si="4"/>
        <v>1118.6399999999999</v>
      </c>
      <c r="K126">
        <f t="shared" si="5"/>
        <v>100.67759999999998</v>
      </c>
      <c r="L126">
        <f t="shared" si="6"/>
        <v>100.67759999999998</v>
      </c>
      <c r="M126">
        <f t="shared" si="7"/>
        <v>1320</v>
      </c>
    </row>
    <row r="127" spans="1:13" x14ac:dyDescent="0.25">
      <c r="A127" s="4">
        <v>1291</v>
      </c>
      <c r="B127" s="3">
        <v>46080</v>
      </c>
      <c r="C127" t="s">
        <v>151</v>
      </c>
      <c r="D127" t="s">
        <v>36</v>
      </c>
      <c r="E127" t="s">
        <v>452</v>
      </c>
      <c r="F127" t="s">
        <v>454</v>
      </c>
      <c r="G127" s="4">
        <v>94054900</v>
      </c>
      <c r="H127">
        <v>5</v>
      </c>
      <c r="I127">
        <v>322.02999999999997</v>
      </c>
      <c r="J127" s="4">
        <f t="shared" si="4"/>
        <v>1610.1499999999999</v>
      </c>
      <c r="K127">
        <f t="shared" si="5"/>
        <v>144.91349999999997</v>
      </c>
      <c r="L127">
        <f t="shared" si="6"/>
        <v>144.91349999999997</v>
      </c>
      <c r="M127">
        <f t="shared" si="7"/>
        <v>1900</v>
      </c>
    </row>
    <row r="128" spans="1:13" x14ac:dyDescent="0.25">
      <c r="A128" s="4">
        <v>1291</v>
      </c>
      <c r="B128" s="3">
        <v>46080</v>
      </c>
      <c r="C128" t="s">
        <v>151</v>
      </c>
      <c r="D128" t="s">
        <v>18</v>
      </c>
      <c r="E128" t="s">
        <v>452</v>
      </c>
      <c r="F128" t="s">
        <v>454</v>
      </c>
      <c r="G128" s="4">
        <v>94054900</v>
      </c>
      <c r="H128">
        <v>5</v>
      </c>
      <c r="I128">
        <v>264.41000000000003</v>
      </c>
      <c r="J128" s="4">
        <f t="shared" si="4"/>
        <v>1322.0500000000002</v>
      </c>
      <c r="K128">
        <f t="shared" si="5"/>
        <v>118.98450000000001</v>
      </c>
      <c r="L128">
        <f t="shared" si="6"/>
        <v>118.98450000000001</v>
      </c>
      <c r="M128">
        <f t="shared" si="7"/>
        <v>1560</v>
      </c>
    </row>
    <row r="129" spans="1:13" x14ac:dyDescent="0.25">
      <c r="A129" s="4">
        <v>1291</v>
      </c>
      <c r="B129" s="3">
        <v>46080</v>
      </c>
      <c r="C129" t="s">
        <v>151</v>
      </c>
      <c r="D129" t="s">
        <v>54</v>
      </c>
      <c r="E129" t="s">
        <v>452</v>
      </c>
      <c r="F129" t="s">
        <v>454</v>
      </c>
      <c r="G129" s="4">
        <v>94054900</v>
      </c>
      <c r="H129">
        <v>10</v>
      </c>
      <c r="I129">
        <v>119.49</v>
      </c>
      <c r="J129" s="4">
        <f t="shared" si="4"/>
        <v>1194.8999999999999</v>
      </c>
      <c r="K129">
        <f t="shared" si="5"/>
        <v>107.54099999999998</v>
      </c>
      <c r="L129">
        <f t="shared" si="6"/>
        <v>107.54099999999998</v>
      </c>
      <c r="M129">
        <f t="shared" si="7"/>
        <v>1410</v>
      </c>
    </row>
    <row r="130" spans="1:13" x14ac:dyDescent="0.25">
      <c r="A130" s="4">
        <v>1173</v>
      </c>
      <c r="B130" s="3">
        <v>46079</v>
      </c>
      <c r="C130" t="s">
        <v>129</v>
      </c>
      <c r="D130" t="s">
        <v>47</v>
      </c>
      <c r="E130" t="s">
        <v>452</v>
      </c>
      <c r="F130" t="s">
        <v>454</v>
      </c>
      <c r="G130" s="4">
        <v>94054900</v>
      </c>
      <c r="H130">
        <v>15</v>
      </c>
      <c r="I130">
        <v>183.9</v>
      </c>
      <c r="J130" s="4">
        <f t="shared" si="4"/>
        <v>2758.5</v>
      </c>
      <c r="K130">
        <f t="shared" si="5"/>
        <v>248.26499999999999</v>
      </c>
      <c r="L130">
        <f t="shared" si="6"/>
        <v>248.26499999999999</v>
      </c>
      <c r="M130">
        <f t="shared" si="7"/>
        <v>3255</v>
      </c>
    </row>
    <row r="131" spans="1:13" x14ac:dyDescent="0.25">
      <c r="A131" s="4">
        <v>1174</v>
      </c>
      <c r="B131" s="3">
        <v>46079</v>
      </c>
      <c r="C131" t="s">
        <v>137</v>
      </c>
      <c r="D131" t="s">
        <v>35</v>
      </c>
      <c r="E131" t="s">
        <v>452</v>
      </c>
      <c r="F131" t="s">
        <v>454</v>
      </c>
      <c r="G131" s="4">
        <v>94054900</v>
      </c>
      <c r="H131">
        <v>300</v>
      </c>
      <c r="I131">
        <v>19.91</v>
      </c>
      <c r="J131" s="4">
        <f t="shared" ref="J131:J194" si="8">I131*H131</f>
        <v>5973</v>
      </c>
      <c r="K131">
        <f t="shared" ref="K131:K194" si="9">J131*0.09</f>
        <v>537.56999999999994</v>
      </c>
      <c r="L131">
        <f t="shared" ref="L131:L194" si="10">K131</f>
        <v>537.56999999999994</v>
      </c>
      <c r="M131">
        <f t="shared" ref="M131:M194" si="11">ROUND(J131*1.18,1)</f>
        <v>7048.1</v>
      </c>
    </row>
    <row r="132" spans="1:13" x14ac:dyDescent="0.25">
      <c r="A132" s="4">
        <v>1290</v>
      </c>
      <c r="B132" s="3">
        <v>46078</v>
      </c>
      <c r="C132" t="s">
        <v>31</v>
      </c>
      <c r="D132" t="s">
        <v>73</v>
      </c>
      <c r="E132" t="s">
        <v>452</v>
      </c>
      <c r="F132" t="s">
        <v>454</v>
      </c>
      <c r="G132" s="4">
        <v>94054900</v>
      </c>
      <c r="H132">
        <v>5</v>
      </c>
      <c r="I132">
        <v>491.53</v>
      </c>
      <c r="J132" s="4">
        <f t="shared" si="8"/>
        <v>2457.6499999999996</v>
      </c>
      <c r="K132">
        <f t="shared" si="9"/>
        <v>221.18849999999995</v>
      </c>
      <c r="L132">
        <f t="shared" si="10"/>
        <v>221.18849999999995</v>
      </c>
      <c r="M132">
        <f t="shared" si="11"/>
        <v>2900</v>
      </c>
    </row>
    <row r="133" spans="1:13" x14ac:dyDescent="0.25">
      <c r="A133" s="4">
        <v>98</v>
      </c>
      <c r="B133" s="3">
        <v>46078</v>
      </c>
      <c r="C133" t="s">
        <v>41</v>
      </c>
      <c r="D133" t="s">
        <v>16</v>
      </c>
      <c r="E133" t="s">
        <v>452</v>
      </c>
      <c r="F133" t="s">
        <v>454</v>
      </c>
      <c r="G133" s="4">
        <v>94054900</v>
      </c>
      <c r="H133" s="4">
        <v>10</v>
      </c>
      <c r="I133" s="4">
        <v>211.86</v>
      </c>
      <c r="J133" s="4">
        <f t="shared" si="8"/>
        <v>2118.6000000000004</v>
      </c>
      <c r="K133">
        <f t="shared" si="9"/>
        <v>190.67400000000004</v>
      </c>
      <c r="L133">
        <f t="shared" si="10"/>
        <v>190.67400000000004</v>
      </c>
      <c r="M133">
        <f t="shared" si="11"/>
        <v>2499.9</v>
      </c>
    </row>
    <row r="134" spans="1:13" x14ac:dyDescent="0.25">
      <c r="A134" s="4">
        <v>1288</v>
      </c>
      <c r="B134" s="3">
        <v>46075</v>
      </c>
      <c r="C134" t="s">
        <v>149</v>
      </c>
      <c r="D134" t="s">
        <v>27</v>
      </c>
      <c r="E134" t="s">
        <v>452</v>
      </c>
      <c r="F134" t="s">
        <v>454</v>
      </c>
      <c r="G134" s="4">
        <v>94054900</v>
      </c>
      <c r="H134">
        <v>2</v>
      </c>
      <c r="I134">
        <v>207.63</v>
      </c>
      <c r="J134" s="4">
        <f t="shared" si="8"/>
        <v>415.26</v>
      </c>
      <c r="K134">
        <f t="shared" si="9"/>
        <v>37.373399999999997</v>
      </c>
      <c r="L134">
        <f t="shared" si="10"/>
        <v>37.373399999999997</v>
      </c>
      <c r="M134">
        <f t="shared" si="11"/>
        <v>490</v>
      </c>
    </row>
    <row r="135" spans="1:13" x14ac:dyDescent="0.25">
      <c r="A135" s="4">
        <v>1288</v>
      </c>
      <c r="B135" s="3">
        <v>46075</v>
      </c>
      <c r="C135" t="s">
        <v>149</v>
      </c>
      <c r="D135" t="s">
        <v>61</v>
      </c>
      <c r="E135" t="s">
        <v>452</v>
      </c>
      <c r="F135" t="s">
        <v>454</v>
      </c>
      <c r="G135" s="4">
        <v>94054900</v>
      </c>
      <c r="H135">
        <v>2</v>
      </c>
      <c r="I135">
        <v>233.05</v>
      </c>
      <c r="J135" s="4">
        <f t="shared" si="8"/>
        <v>466.1</v>
      </c>
      <c r="K135">
        <f t="shared" si="9"/>
        <v>41.948999999999998</v>
      </c>
      <c r="L135">
        <f t="shared" si="10"/>
        <v>41.948999999999998</v>
      </c>
      <c r="M135">
        <f t="shared" si="11"/>
        <v>550</v>
      </c>
    </row>
    <row r="136" spans="1:13" x14ac:dyDescent="0.25">
      <c r="A136" s="4">
        <v>1288</v>
      </c>
      <c r="B136" s="3">
        <v>46075</v>
      </c>
      <c r="C136" t="s">
        <v>149</v>
      </c>
      <c r="D136" t="s">
        <v>62</v>
      </c>
      <c r="E136" t="s">
        <v>452</v>
      </c>
      <c r="F136" t="s">
        <v>454</v>
      </c>
      <c r="G136" s="4">
        <v>94054900</v>
      </c>
      <c r="H136">
        <v>2</v>
      </c>
      <c r="I136">
        <v>283.89999999999998</v>
      </c>
      <c r="J136" s="4">
        <f t="shared" si="8"/>
        <v>567.79999999999995</v>
      </c>
      <c r="K136">
        <f t="shared" si="9"/>
        <v>51.101999999999997</v>
      </c>
      <c r="L136">
        <f t="shared" si="10"/>
        <v>51.101999999999997</v>
      </c>
      <c r="M136">
        <f t="shared" si="11"/>
        <v>670</v>
      </c>
    </row>
    <row r="137" spans="1:13" x14ac:dyDescent="0.25">
      <c r="A137" s="4">
        <v>1286</v>
      </c>
      <c r="B137" s="3">
        <v>46072</v>
      </c>
      <c r="C137" t="s">
        <v>97</v>
      </c>
      <c r="D137" t="s">
        <v>13</v>
      </c>
      <c r="E137" t="s">
        <v>452</v>
      </c>
      <c r="F137" t="s">
        <v>454</v>
      </c>
      <c r="G137" s="4">
        <v>94054900</v>
      </c>
      <c r="H137" s="4">
        <v>20</v>
      </c>
      <c r="I137" s="4">
        <v>76.27</v>
      </c>
      <c r="J137" s="4">
        <f t="shared" si="8"/>
        <v>1525.3999999999999</v>
      </c>
      <c r="K137">
        <f t="shared" si="9"/>
        <v>137.28599999999997</v>
      </c>
      <c r="L137">
        <f t="shared" si="10"/>
        <v>137.28599999999997</v>
      </c>
      <c r="M137">
        <f t="shared" si="11"/>
        <v>1800</v>
      </c>
    </row>
    <row r="138" spans="1:13" x14ac:dyDescent="0.25">
      <c r="A138" s="4">
        <v>1286</v>
      </c>
      <c r="B138" s="3">
        <v>46072</v>
      </c>
      <c r="C138" t="s">
        <v>97</v>
      </c>
      <c r="D138" t="s">
        <v>68</v>
      </c>
      <c r="E138" t="s">
        <v>452</v>
      </c>
      <c r="F138" t="s">
        <v>454</v>
      </c>
      <c r="G138" s="4">
        <v>94054900</v>
      </c>
      <c r="H138" s="4">
        <v>6</v>
      </c>
      <c r="I138" s="4">
        <v>367.8</v>
      </c>
      <c r="J138" s="4">
        <f t="shared" si="8"/>
        <v>2206.8000000000002</v>
      </c>
      <c r="K138">
        <f t="shared" si="9"/>
        <v>198.61200000000002</v>
      </c>
      <c r="L138">
        <f t="shared" si="10"/>
        <v>198.61200000000002</v>
      </c>
      <c r="M138">
        <f t="shared" si="11"/>
        <v>2604</v>
      </c>
    </row>
    <row r="139" spans="1:13" x14ac:dyDescent="0.25">
      <c r="A139" s="4">
        <v>1286</v>
      </c>
      <c r="B139" s="3">
        <v>46072</v>
      </c>
      <c r="C139" t="s">
        <v>97</v>
      </c>
      <c r="D139" t="s">
        <v>136</v>
      </c>
      <c r="E139" t="s">
        <v>452</v>
      </c>
      <c r="F139" t="s">
        <v>454</v>
      </c>
      <c r="G139" s="4">
        <v>94054900</v>
      </c>
      <c r="H139" s="4">
        <v>6</v>
      </c>
      <c r="I139" s="4">
        <v>483.05</v>
      </c>
      <c r="J139" s="4">
        <f t="shared" si="8"/>
        <v>2898.3</v>
      </c>
      <c r="K139">
        <f t="shared" si="9"/>
        <v>260.84699999999998</v>
      </c>
      <c r="L139">
        <f t="shared" si="10"/>
        <v>260.84699999999998</v>
      </c>
      <c r="M139">
        <f t="shared" si="11"/>
        <v>3420</v>
      </c>
    </row>
    <row r="140" spans="1:13" x14ac:dyDescent="0.25">
      <c r="A140" s="4">
        <v>1286</v>
      </c>
      <c r="B140" s="3">
        <v>46072</v>
      </c>
      <c r="C140" t="s">
        <v>97</v>
      </c>
      <c r="D140" t="s">
        <v>27</v>
      </c>
      <c r="E140" t="s">
        <v>452</v>
      </c>
      <c r="F140" t="s">
        <v>454</v>
      </c>
      <c r="G140" s="4">
        <v>94054900</v>
      </c>
      <c r="H140" s="4">
        <v>6</v>
      </c>
      <c r="I140" s="4">
        <v>207.63</v>
      </c>
      <c r="J140" s="4">
        <f t="shared" si="8"/>
        <v>1245.78</v>
      </c>
      <c r="K140">
        <f t="shared" si="9"/>
        <v>112.1202</v>
      </c>
      <c r="L140">
        <f t="shared" si="10"/>
        <v>112.1202</v>
      </c>
      <c r="M140">
        <f t="shared" si="11"/>
        <v>1470</v>
      </c>
    </row>
    <row r="141" spans="1:13" x14ac:dyDescent="0.25">
      <c r="A141" s="4">
        <v>1286</v>
      </c>
      <c r="B141" s="3">
        <v>46072</v>
      </c>
      <c r="C141" t="s">
        <v>97</v>
      </c>
      <c r="D141" t="s">
        <v>36</v>
      </c>
      <c r="E141" t="s">
        <v>452</v>
      </c>
      <c r="F141" t="s">
        <v>454</v>
      </c>
      <c r="G141" s="4">
        <v>94054900</v>
      </c>
      <c r="H141" s="4">
        <v>6</v>
      </c>
      <c r="I141" s="4">
        <v>322.02999999999997</v>
      </c>
      <c r="J141" s="4">
        <f t="shared" si="8"/>
        <v>1932.1799999999998</v>
      </c>
      <c r="K141">
        <f t="shared" si="9"/>
        <v>173.89619999999996</v>
      </c>
      <c r="L141">
        <f t="shared" si="10"/>
        <v>173.89619999999996</v>
      </c>
      <c r="M141">
        <f t="shared" si="11"/>
        <v>2280</v>
      </c>
    </row>
    <row r="142" spans="1:13" x14ac:dyDescent="0.25">
      <c r="A142" s="4">
        <v>1286</v>
      </c>
      <c r="B142" s="3">
        <v>46072</v>
      </c>
      <c r="C142" t="s">
        <v>97</v>
      </c>
      <c r="D142" t="s">
        <v>16</v>
      </c>
      <c r="E142" t="s">
        <v>452</v>
      </c>
      <c r="F142" t="s">
        <v>454</v>
      </c>
      <c r="G142" s="4">
        <v>94054900</v>
      </c>
      <c r="H142" s="4">
        <v>10</v>
      </c>
      <c r="I142" s="4">
        <v>180.51</v>
      </c>
      <c r="J142" s="4">
        <f t="shared" si="8"/>
        <v>1805.1</v>
      </c>
      <c r="K142">
        <f t="shared" si="9"/>
        <v>162.45899999999997</v>
      </c>
      <c r="L142">
        <f t="shared" si="10"/>
        <v>162.45899999999997</v>
      </c>
      <c r="M142">
        <f t="shared" si="11"/>
        <v>2130</v>
      </c>
    </row>
    <row r="143" spans="1:13" x14ac:dyDescent="0.25">
      <c r="A143" s="4">
        <v>1286</v>
      </c>
      <c r="B143" s="3">
        <v>46072</v>
      </c>
      <c r="C143" t="s">
        <v>97</v>
      </c>
      <c r="D143" t="s">
        <v>48</v>
      </c>
      <c r="E143" t="s">
        <v>452</v>
      </c>
      <c r="F143" t="s">
        <v>454</v>
      </c>
      <c r="G143" s="4">
        <v>94054900</v>
      </c>
      <c r="H143" s="4">
        <v>2</v>
      </c>
      <c r="I143" s="4">
        <v>2711.86</v>
      </c>
      <c r="J143" s="4">
        <f t="shared" si="8"/>
        <v>5423.72</v>
      </c>
      <c r="K143">
        <f t="shared" si="9"/>
        <v>488.13479999999998</v>
      </c>
      <c r="L143">
        <f t="shared" si="10"/>
        <v>488.13479999999998</v>
      </c>
      <c r="M143">
        <f t="shared" si="11"/>
        <v>6400</v>
      </c>
    </row>
    <row r="144" spans="1:13" x14ac:dyDescent="0.25">
      <c r="A144" s="4">
        <v>1286</v>
      </c>
      <c r="B144" s="3">
        <v>46072</v>
      </c>
      <c r="C144" t="s">
        <v>97</v>
      </c>
      <c r="D144" t="s">
        <v>54</v>
      </c>
      <c r="E144" t="s">
        <v>452</v>
      </c>
      <c r="F144" t="s">
        <v>454</v>
      </c>
      <c r="G144" s="4">
        <v>94054900</v>
      </c>
      <c r="H144" s="4">
        <v>10</v>
      </c>
      <c r="I144" s="4">
        <v>118.64</v>
      </c>
      <c r="J144" s="4">
        <f t="shared" si="8"/>
        <v>1186.4000000000001</v>
      </c>
      <c r="K144">
        <f t="shared" si="9"/>
        <v>106.77600000000001</v>
      </c>
      <c r="L144">
        <f t="shared" si="10"/>
        <v>106.77600000000001</v>
      </c>
      <c r="M144">
        <f t="shared" si="11"/>
        <v>1400</v>
      </c>
    </row>
    <row r="145" spans="1:13" x14ac:dyDescent="0.25">
      <c r="A145" s="4">
        <v>1286</v>
      </c>
      <c r="B145" s="3">
        <v>46072</v>
      </c>
      <c r="C145" t="s">
        <v>97</v>
      </c>
      <c r="D145" t="s">
        <v>33</v>
      </c>
      <c r="E145" t="s">
        <v>452</v>
      </c>
      <c r="F145" t="s">
        <v>453</v>
      </c>
      <c r="G145" s="4">
        <v>84145120</v>
      </c>
      <c r="H145" s="4">
        <v>3</v>
      </c>
      <c r="I145" s="4">
        <v>1906.78</v>
      </c>
      <c r="J145" s="4">
        <f t="shared" si="8"/>
        <v>5720.34</v>
      </c>
      <c r="K145">
        <f t="shared" si="9"/>
        <v>514.8306</v>
      </c>
      <c r="L145">
        <f t="shared" si="10"/>
        <v>514.8306</v>
      </c>
      <c r="M145">
        <f t="shared" si="11"/>
        <v>6750</v>
      </c>
    </row>
    <row r="146" spans="1:13" x14ac:dyDescent="0.25">
      <c r="A146" s="4">
        <v>1284</v>
      </c>
      <c r="B146" s="3">
        <v>46071</v>
      </c>
      <c r="C146" t="s">
        <v>31</v>
      </c>
      <c r="D146" t="s">
        <v>47</v>
      </c>
      <c r="E146" t="s">
        <v>452</v>
      </c>
      <c r="F146" t="s">
        <v>454</v>
      </c>
      <c r="G146" s="4">
        <v>94054900</v>
      </c>
      <c r="H146" s="4">
        <v>10</v>
      </c>
      <c r="I146" s="4">
        <v>183.05</v>
      </c>
      <c r="J146" s="4">
        <f t="shared" si="8"/>
        <v>1830.5</v>
      </c>
      <c r="K146">
        <f t="shared" si="9"/>
        <v>164.745</v>
      </c>
      <c r="L146">
        <f t="shared" si="10"/>
        <v>164.745</v>
      </c>
      <c r="M146">
        <f t="shared" si="11"/>
        <v>2160</v>
      </c>
    </row>
    <row r="147" spans="1:13" x14ac:dyDescent="0.25">
      <c r="A147" s="4">
        <v>1285</v>
      </c>
      <c r="B147" s="3">
        <v>46071</v>
      </c>
      <c r="C147" t="s">
        <v>41</v>
      </c>
      <c r="D147" t="s">
        <v>47</v>
      </c>
      <c r="E147" t="s">
        <v>452</v>
      </c>
      <c r="F147" t="s">
        <v>454</v>
      </c>
      <c r="G147" s="4">
        <v>94054900</v>
      </c>
      <c r="H147">
        <v>5</v>
      </c>
      <c r="I147">
        <v>177.97</v>
      </c>
      <c r="J147" s="4">
        <f t="shared" si="8"/>
        <v>889.85</v>
      </c>
      <c r="K147">
        <f t="shared" si="9"/>
        <v>80.086500000000001</v>
      </c>
      <c r="L147">
        <f t="shared" si="10"/>
        <v>80.086500000000001</v>
      </c>
      <c r="M147">
        <f t="shared" si="11"/>
        <v>1050</v>
      </c>
    </row>
    <row r="148" spans="1:13" x14ac:dyDescent="0.25">
      <c r="A148" s="4">
        <v>1282</v>
      </c>
      <c r="B148" s="3">
        <v>46070</v>
      </c>
      <c r="C148" t="s">
        <v>25</v>
      </c>
      <c r="D148" t="s">
        <v>16</v>
      </c>
      <c r="E148" t="s">
        <v>452</v>
      </c>
      <c r="F148" t="s">
        <v>454</v>
      </c>
      <c r="G148" s="4">
        <v>94054900</v>
      </c>
      <c r="H148">
        <v>10</v>
      </c>
      <c r="I148">
        <v>190.68</v>
      </c>
      <c r="J148" s="4">
        <f t="shared" si="8"/>
        <v>1906.8000000000002</v>
      </c>
      <c r="K148">
        <f t="shared" si="9"/>
        <v>171.61200000000002</v>
      </c>
      <c r="L148">
        <f t="shared" si="10"/>
        <v>171.61200000000002</v>
      </c>
      <c r="M148">
        <f t="shared" si="11"/>
        <v>2250</v>
      </c>
    </row>
    <row r="149" spans="1:13" x14ac:dyDescent="0.25">
      <c r="A149" s="4">
        <v>1283</v>
      </c>
      <c r="B149" s="3">
        <v>46070</v>
      </c>
      <c r="C149" t="s">
        <v>148</v>
      </c>
      <c r="D149" t="s">
        <v>23</v>
      </c>
      <c r="E149" t="s">
        <v>452</v>
      </c>
      <c r="F149" t="s">
        <v>454</v>
      </c>
      <c r="G149" s="4">
        <v>94054900</v>
      </c>
      <c r="H149" s="4">
        <v>2</v>
      </c>
      <c r="I149" s="4">
        <v>393.22</v>
      </c>
      <c r="J149" s="4">
        <f t="shared" si="8"/>
        <v>786.44</v>
      </c>
      <c r="K149">
        <f t="shared" si="9"/>
        <v>70.779600000000002</v>
      </c>
      <c r="L149">
        <f t="shared" si="10"/>
        <v>70.779600000000002</v>
      </c>
      <c r="M149">
        <f t="shared" si="11"/>
        <v>928</v>
      </c>
    </row>
    <row r="150" spans="1:13" x14ac:dyDescent="0.25">
      <c r="A150" s="4">
        <v>1283</v>
      </c>
      <c r="B150" s="3">
        <v>46070</v>
      </c>
      <c r="C150" t="s">
        <v>148</v>
      </c>
      <c r="D150" t="s">
        <v>139</v>
      </c>
      <c r="E150" t="s">
        <v>452</v>
      </c>
      <c r="F150" t="s">
        <v>454</v>
      </c>
      <c r="G150" s="4">
        <v>94054900</v>
      </c>
      <c r="H150" s="4">
        <v>2</v>
      </c>
      <c r="I150" s="4">
        <v>661.02</v>
      </c>
      <c r="J150" s="4">
        <f t="shared" si="8"/>
        <v>1322.04</v>
      </c>
      <c r="K150">
        <f t="shared" si="9"/>
        <v>118.9836</v>
      </c>
      <c r="L150">
        <f t="shared" si="10"/>
        <v>118.9836</v>
      </c>
      <c r="M150">
        <f t="shared" si="11"/>
        <v>1560</v>
      </c>
    </row>
    <row r="151" spans="1:13" x14ac:dyDescent="0.25">
      <c r="A151" s="4">
        <v>1283</v>
      </c>
      <c r="B151" s="3">
        <v>46070</v>
      </c>
      <c r="C151" t="s">
        <v>148</v>
      </c>
      <c r="D151" t="s">
        <v>27</v>
      </c>
      <c r="E151" t="s">
        <v>452</v>
      </c>
      <c r="F151" t="s">
        <v>454</v>
      </c>
      <c r="G151" s="4">
        <v>94054900</v>
      </c>
      <c r="H151" s="4">
        <v>2</v>
      </c>
      <c r="I151" s="4">
        <v>198.31</v>
      </c>
      <c r="J151" s="4">
        <f t="shared" si="8"/>
        <v>396.62</v>
      </c>
      <c r="K151">
        <f t="shared" si="9"/>
        <v>35.695799999999998</v>
      </c>
      <c r="L151">
        <f t="shared" si="10"/>
        <v>35.695799999999998</v>
      </c>
      <c r="M151">
        <f t="shared" si="11"/>
        <v>468</v>
      </c>
    </row>
    <row r="152" spans="1:13" x14ac:dyDescent="0.25">
      <c r="A152" s="4">
        <v>1281</v>
      </c>
      <c r="B152" s="3">
        <v>46065</v>
      </c>
      <c r="C152" t="s">
        <v>22</v>
      </c>
      <c r="D152" t="s">
        <v>47</v>
      </c>
      <c r="E152" t="s">
        <v>452</v>
      </c>
      <c r="F152" t="s">
        <v>454</v>
      </c>
      <c r="G152" s="4">
        <v>94054900</v>
      </c>
      <c r="H152">
        <v>10</v>
      </c>
      <c r="I152">
        <v>177.97</v>
      </c>
      <c r="J152" s="4">
        <f t="shared" si="8"/>
        <v>1779.7</v>
      </c>
      <c r="K152">
        <f t="shared" si="9"/>
        <v>160.173</v>
      </c>
      <c r="L152">
        <f t="shared" si="10"/>
        <v>160.173</v>
      </c>
      <c r="M152">
        <f t="shared" si="11"/>
        <v>2100</v>
      </c>
    </row>
    <row r="153" spans="1:13" x14ac:dyDescent="0.25">
      <c r="A153" s="4">
        <v>1287</v>
      </c>
      <c r="B153" s="3">
        <v>46064</v>
      </c>
      <c r="C153" t="s">
        <v>149</v>
      </c>
      <c r="D153" t="s">
        <v>13</v>
      </c>
      <c r="E153" t="s">
        <v>452</v>
      </c>
      <c r="F153" t="s">
        <v>454</v>
      </c>
      <c r="G153" s="4">
        <v>94054900</v>
      </c>
      <c r="H153" s="4">
        <v>40</v>
      </c>
      <c r="I153" s="4">
        <v>72.03</v>
      </c>
      <c r="J153" s="4">
        <f t="shared" si="8"/>
        <v>2881.2</v>
      </c>
      <c r="K153">
        <f t="shared" si="9"/>
        <v>259.30799999999999</v>
      </c>
      <c r="L153">
        <f t="shared" si="10"/>
        <v>259.30799999999999</v>
      </c>
      <c r="M153">
        <f t="shared" si="11"/>
        <v>3399.8</v>
      </c>
    </row>
    <row r="154" spans="1:13" x14ac:dyDescent="0.25">
      <c r="A154" s="4">
        <v>1287</v>
      </c>
      <c r="B154" s="3">
        <v>46064</v>
      </c>
      <c r="C154" t="s">
        <v>149</v>
      </c>
      <c r="D154" t="s">
        <v>59</v>
      </c>
      <c r="E154" t="s">
        <v>452</v>
      </c>
      <c r="F154" t="s">
        <v>454</v>
      </c>
      <c r="G154" s="4">
        <v>94054900</v>
      </c>
      <c r="H154" s="4">
        <v>20</v>
      </c>
      <c r="I154" s="4">
        <v>212.71</v>
      </c>
      <c r="J154" s="4">
        <f t="shared" si="8"/>
        <v>4254.2</v>
      </c>
      <c r="K154">
        <f t="shared" si="9"/>
        <v>382.87799999999999</v>
      </c>
      <c r="L154">
        <f t="shared" si="10"/>
        <v>382.87799999999999</v>
      </c>
      <c r="M154">
        <f t="shared" si="11"/>
        <v>5020</v>
      </c>
    </row>
    <row r="155" spans="1:13" x14ac:dyDescent="0.25">
      <c r="A155" s="4">
        <v>1287</v>
      </c>
      <c r="B155" s="3">
        <v>46064</v>
      </c>
      <c r="C155" t="s">
        <v>149</v>
      </c>
      <c r="D155" t="s">
        <v>35</v>
      </c>
      <c r="E155" t="s">
        <v>452</v>
      </c>
      <c r="F155" t="s">
        <v>454</v>
      </c>
      <c r="G155" s="4">
        <v>94054900</v>
      </c>
      <c r="H155" s="4">
        <v>100</v>
      </c>
      <c r="I155" s="4">
        <v>22.88</v>
      </c>
      <c r="J155" s="4">
        <f t="shared" si="8"/>
        <v>2288</v>
      </c>
      <c r="K155">
        <f t="shared" si="9"/>
        <v>205.92</v>
      </c>
      <c r="L155">
        <f t="shared" si="10"/>
        <v>205.92</v>
      </c>
      <c r="M155">
        <f t="shared" si="11"/>
        <v>2699.8</v>
      </c>
    </row>
    <row r="156" spans="1:13" x14ac:dyDescent="0.25">
      <c r="A156" s="4">
        <v>1287</v>
      </c>
      <c r="B156" s="3">
        <v>46064</v>
      </c>
      <c r="C156" t="s">
        <v>149</v>
      </c>
      <c r="D156" t="s">
        <v>14</v>
      </c>
      <c r="E156" t="s">
        <v>452</v>
      </c>
      <c r="F156" t="s">
        <v>454</v>
      </c>
      <c r="G156" s="4">
        <v>94054900</v>
      </c>
      <c r="H156" s="4">
        <v>30</v>
      </c>
      <c r="I156" s="4">
        <v>60.17</v>
      </c>
      <c r="J156" s="4">
        <f t="shared" si="8"/>
        <v>1805.1000000000001</v>
      </c>
      <c r="K156">
        <f t="shared" si="9"/>
        <v>162.459</v>
      </c>
      <c r="L156">
        <f t="shared" si="10"/>
        <v>162.459</v>
      </c>
      <c r="M156">
        <f t="shared" si="11"/>
        <v>2130</v>
      </c>
    </row>
    <row r="157" spans="1:13" x14ac:dyDescent="0.25">
      <c r="A157" s="4">
        <v>1287</v>
      </c>
      <c r="B157" s="3">
        <v>46064</v>
      </c>
      <c r="C157" t="s">
        <v>149</v>
      </c>
      <c r="D157" t="s">
        <v>24</v>
      </c>
      <c r="E157" t="s">
        <v>452</v>
      </c>
      <c r="F157" t="s">
        <v>454</v>
      </c>
      <c r="G157" s="4">
        <v>94054900</v>
      </c>
      <c r="H157" s="4">
        <v>6</v>
      </c>
      <c r="I157" s="4">
        <v>218.64</v>
      </c>
      <c r="J157" s="4">
        <f t="shared" si="8"/>
        <v>1311.84</v>
      </c>
      <c r="K157">
        <f t="shared" si="9"/>
        <v>118.06559999999999</v>
      </c>
      <c r="L157">
        <f t="shared" si="10"/>
        <v>118.06559999999999</v>
      </c>
      <c r="M157">
        <f t="shared" si="11"/>
        <v>1548</v>
      </c>
    </row>
    <row r="158" spans="1:13" x14ac:dyDescent="0.25">
      <c r="A158" s="4">
        <v>1287</v>
      </c>
      <c r="B158" s="3">
        <v>46064</v>
      </c>
      <c r="C158" t="s">
        <v>149</v>
      </c>
      <c r="D158" t="s">
        <v>36</v>
      </c>
      <c r="E158" t="s">
        <v>452</v>
      </c>
      <c r="F158" t="s">
        <v>454</v>
      </c>
      <c r="G158" s="4">
        <v>94054900</v>
      </c>
      <c r="H158" s="4">
        <v>4</v>
      </c>
      <c r="I158" s="4">
        <v>322.02999999999997</v>
      </c>
      <c r="J158" s="4">
        <f t="shared" si="8"/>
        <v>1288.1199999999999</v>
      </c>
      <c r="K158">
        <f t="shared" si="9"/>
        <v>115.93079999999999</v>
      </c>
      <c r="L158">
        <f t="shared" si="10"/>
        <v>115.93079999999999</v>
      </c>
      <c r="M158">
        <f t="shared" si="11"/>
        <v>1520</v>
      </c>
    </row>
    <row r="159" spans="1:13" x14ac:dyDescent="0.25">
      <c r="A159" s="4">
        <v>1287</v>
      </c>
      <c r="B159" s="3">
        <v>46064</v>
      </c>
      <c r="C159" t="s">
        <v>149</v>
      </c>
      <c r="D159" t="s">
        <v>26</v>
      </c>
      <c r="E159" t="s">
        <v>452</v>
      </c>
      <c r="F159" t="s">
        <v>454</v>
      </c>
      <c r="G159" s="4">
        <v>94054900</v>
      </c>
      <c r="H159" s="4">
        <v>40</v>
      </c>
      <c r="I159" s="4">
        <v>45.76</v>
      </c>
      <c r="J159" s="4">
        <f t="shared" si="8"/>
        <v>1830.3999999999999</v>
      </c>
      <c r="K159">
        <f t="shared" si="9"/>
        <v>164.73599999999999</v>
      </c>
      <c r="L159">
        <f t="shared" si="10"/>
        <v>164.73599999999999</v>
      </c>
      <c r="M159">
        <f t="shared" si="11"/>
        <v>2159.9</v>
      </c>
    </row>
    <row r="160" spans="1:13" x14ac:dyDescent="0.25">
      <c r="A160" s="4">
        <v>1287</v>
      </c>
      <c r="B160" s="3">
        <v>46064</v>
      </c>
      <c r="C160" t="s">
        <v>149</v>
      </c>
      <c r="D160" t="s">
        <v>67</v>
      </c>
      <c r="E160" t="s">
        <v>452</v>
      </c>
      <c r="F160" t="s">
        <v>454</v>
      </c>
      <c r="G160" s="4">
        <v>94054900</v>
      </c>
      <c r="H160" s="4">
        <v>5</v>
      </c>
      <c r="I160" s="4">
        <v>264.41000000000003</v>
      </c>
      <c r="J160" s="4">
        <f t="shared" si="8"/>
        <v>1322.0500000000002</v>
      </c>
      <c r="K160">
        <f t="shared" si="9"/>
        <v>118.98450000000001</v>
      </c>
      <c r="L160">
        <f t="shared" si="10"/>
        <v>118.98450000000001</v>
      </c>
      <c r="M160">
        <f t="shared" si="11"/>
        <v>1560</v>
      </c>
    </row>
    <row r="161" spans="1:13" x14ac:dyDescent="0.25">
      <c r="A161" s="4">
        <v>1287</v>
      </c>
      <c r="B161" s="3">
        <v>46064</v>
      </c>
      <c r="C161" t="s">
        <v>149</v>
      </c>
      <c r="D161" t="s">
        <v>72</v>
      </c>
      <c r="E161" t="s">
        <v>452</v>
      </c>
      <c r="F161" t="s">
        <v>454</v>
      </c>
      <c r="G161" s="4">
        <v>94054900</v>
      </c>
      <c r="H161" s="4">
        <v>12</v>
      </c>
      <c r="I161" s="4">
        <v>194.92</v>
      </c>
      <c r="J161" s="4">
        <f t="shared" si="8"/>
        <v>2339.04</v>
      </c>
      <c r="K161">
        <f t="shared" si="9"/>
        <v>210.5136</v>
      </c>
      <c r="L161">
        <f t="shared" si="10"/>
        <v>210.5136</v>
      </c>
      <c r="M161">
        <f t="shared" si="11"/>
        <v>2760.1</v>
      </c>
    </row>
    <row r="162" spans="1:13" x14ac:dyDescent="0.25">
      <c r="A162" s="4">
        <v>1287</v>
      </c>
      <c r="B162" s="3">
        <v>46064</v>
      </c>
      <c r="C162" t="s">
        <v>149</v>
      </c>
      <c r="D162" t="s">
        <v>150</v>
      </c>
      <c r="E162" t="s">
        <v>452</v>
      </c>
      <c r="F162" t="s">
        <v>454</v>
      </c>
      <c r="G162" s="4">
        <v>94054900</v>
      </c>
      <c r="H162" s="4">
        <v>4</v>
      </c>
      <c r="I162" s="4">
        <v>259.32</v>
      </c>
      <c r="J162" s="4">
        <f t="shared" si="8"/>
        <v>1037.28</v>
      </c>
      <c r="K162">
        <f t="shared" si="9"/>
        <v>93.355199999999996</v>
      </c>
      <c r="L162">
        <f t="shared" si="10"/>
        <v>93.355199999999996</v>
      </c>
      <c r="M162">
        <f t="shared" si="11"/>
        <v>1224</v>
      </c>
    </row>
    <row r="163" spans="1:13" x14ac:dyDescent="0.25">
      <c r="A163" s="4">
        <v>1287</v>
      </c>
      <c r="B163" s="3">
        <v>46064</v>
      </c>
      <c r="C163" t="s">
        <v>149</v>
      </c>
      <c r="D163" t="s">
        <v>60</v>
      </c>
      <c r="E163" t="s">
        <v>452</v>
      </c>
      <c r="F163" t="s">
        <v>454</v>
      </c>
      <c r="G163" s="4">
        <v>94054900</v>
      </c>
      <c r="H163" s="4">
        <v>2</v>
      </c>
      <c r="I163" s="4">
        <v>434.75</v>
      </c>
      <c r="J163" s="4">
        <f t="shared" si="8"/>
        <v>869.5</v>
      </c>
      <c r="K163">
        <f t="shared" si="9"/>
        <v>78.254999999999995</v>
      </c>
      <c r="L163">
        <f t="shared" si="10"/>
        <v>78.254999999999995</v>
      </c>
      <c r="M163">
        <f t="shared" si="11"/>
        <v>1026</v>
      </c>
    </row>
    <row r="164" spans="1:13" x14ac:dyDescent="0.25">
      <c r="A164" s="4">
        <v>1287</v>
      </c>
      <c r="B164" s="3">
        <v>46064</v>
      </c>
      <c r="C164" t="s">
        <v>149</v>
      </c>
      <c r="D164" t="s">
        <v>32</v>
      </c>
      <c r="E164" t="s">
        <v>452</v>
      </c>
      <c r="F164" t="s">
        <v>454</v>
      </c>
      <c r="G164" s="4">
        <v>94054900</v>
      </c>
      <c r="H164" s="4">
        <v>1</v>
      </c>
      <c r="I164" s="4">
        <v>492.37</v>
      </c>
      <c r="J164" s="4">
        <f t="shared" si="8"/>
        <v>492.37</v>
      </c>
      <c r="K164">
        <f t="shared" si="9"/>
        <v>44.313299999999998</v>
      </c>
      <c r="L164">
        <f t="shared" si="10"/>
        <v>44.313299999999998</v>
      </c>
      <c r="M164">
        <f t="shared" si="11"/>
        <v>581</v>
      </c>
    </row>
    <row r="165" spans="1:13" x14ac:dyDescent="0.25">
      <c r="A165" s="4">
        <v>1287</v>
      </c>
      <c r="B165" s="3">
        <v>46064</v>
      </c>
      <c r="C165" t="s">
        <v>149</v>
      </c>
      <c r="D165" t="s">
        <v>54</v>
      </c>
      <c r="E165" t="s">
        <v>452</v>
      </c>
      <c r="F165" t="s">
        <v>454</v>
      </c>
      <c r="G165" s="4">
        <v>94054900</v>
      </c>
      <c r="H165" s="4">
        <v>10</v>
      </c>
      <c r="I165" s="4">
        <v>119.49</v>
      </c>
      <c r="J165" s="4">
        <f t="shared" si="8"/>
        <v>1194.8999999999999</v>
      </c>
      <c r="K165">
        <f t="shared" si="9"/>
        <v>107.54099999999998</v>
      </c>
      <c r="L165">
        <f t="shared" si="10"/>
        <v>107.54099999999998</v>
      </c>
      <c r="M165">
        <f t="shared" si="11"/>
        <v>1410</v>
      </c>
    </row>
    <row r="166" spans="1:13" x14ac:dyDescent="0.25">
      <c r="A166" s="4">
        <v>1289</v>
      </c>
      <c r="B166" s="3">
        <v>46064</v>
      </c>
      <c r="C166" t="s">
        <v>151</v>
      </c>
      <c r="D166" t="s">
        <v>152</v>
      </c>
      <c r="E166" t="s">
        <v>452</v>
      </c>
      <c r="F166" t="s">
        <v>454</v>
      </c>
      <c r="G166" s="4">
        <v>94054900</v>
      </c>
      <c r="H166">
        <v>3</v>
      </c>
      <c r="I166">
        <v>803.39</v>
      </c>
      <c r="J166" s="4">
        <f t="shared" si="8"/>
        <v>2410.17</v>
      </c>
      <c r="K166">
        <f t="shared" si="9"/>
        <v>216.9153</v>
      </c>
      <c r="L166">
        <f t="shared" si="10"/>
        <v>216.9153</v>
      </c>
      <c r="M166">
        <f t="shared" si="11"/>
        <v>2844</v>
      </c>
    </row>
    <row r="167" spans="1:13" x14ac:dyDescent="0.25">
      <c r="A167" s="4">
        <v>1289</v>
      </c>
      <c r="B167" s="3">
        <v>46064</v>
      </c>
      <c r="C167" t="s">
        <v>151</v>
      </c>
      <c r="D167" t="s">
        <v>74</v>
      </c>
      <c r="E167" t="s">
        <v>452</v>
      </c>
      <c r="F167" t="s">
        <v>454</v>
      </c>
      <c r="G167" s="4">
        <v>94054900</v>
      </c>
      <c r="H167">
        <v>30</v>
      </c>
      <c r="I167">
        <v>106.78</v>
      </c>
      <c r="J167" s="4">
        <f t="shared" si="8"/>
        <v>3203.4</v>
      </c>
      <c r="K167">
        <f t="shared" si="9"/>
        <v>288.30599999999998</v>
      </c>
      <c r="L167">
        <f t="shared" si="10"/>
        <v>288.30599999999998</v>
      </c>
      <c r="M167">
        <f t="shared" si="11"/>
        <v>3780</v>
      </c>
    </row>
    <row r="168" spans="1:13" x14ac:dyDescent="0.25">
      <c r="A168" s="4">
        <v>1289</v>
      </c>
      <c r="B168" s="3">
        <v>46064</v>
      </c>
      <c r="C168" t="s">
        <v>151</v>
      </c>
      <c r="D168" t="s">
        <v>47</v>
      </c>
      <c r="E168" t="s">
        <v>452</v>
      </c>
      <c r="F168" t="s">
        <v>454</v>
      </c>
      <c r="G168" s="4">
        <v>94054900</v>
      </c>
      <c r="H168">
        <v>10</v>
      </c>
      <c r="I168">
        <v>183.9</v>
      </c>
      <c r="J168" s="4">
        <f t="shared" si="8"/>
        <v>1839</v>
      </c>
      <c r="K168">
        <f t="shared" si="9"/>
        <v>165.51</v>
      </c>
      <c r="L168">
        <f t="shared" si="10"/>
        <v>165.51</v>
      </c>
      <c r="M168">
        <f t="shared" si="11"/>
        <v>2170</v>
      </c>
    </row>
    <row r="169" spans="1:13" x14ac:dyDescent="0.25">
      <c r="A169" s="4">
        <v>1289</v>
      </c>
      <c r="B169" s="3">
        <v>46064</v>
      </c>
      <c r="C169" t="s">
        <v>151</v>
      </c>
      <c r="D169" t="s">
        <v>145</v>
      </c>
      <c r="E169" t="s">
        <v>452</v>
      </c>
      <c r="F169" t="s">
        <v>454</v>
      </c>
      <c r="G169" s="4">
        <v>94054900</v>
      </c>
      <c r="H169">
        <v>10</v>
      </c>
      <c r="I169">
        <v>71.19</v>
      </c>
      <c r="J169" s="4">
        <f t="shared" si="8"/>
        <v>711.9</v>
      </c>
      <c r="K169">
        <f t="shared" si="9"/>
        <v>64.070999999999998</v>
      </c>
      <c r="L169">
        <f t="shared" si="10"/>
        <v>64.070999999999998</v>
      </c>
      <c r="M169">
        <f t="shared" si="11"/>
        <v>840</v>
      </c>
    </row>
    <row r="170" spans="1:13" x14ac:dyDescent="0.25">
      <c r="A170" s="4">
        <v>1278</v>
      </c>
      <c r="B170" s="3">
        <v>46063</v>
      </c>
      <c r="C170" t="s">
        <v>22</v>
      </c>
      <c r="D170" t="s">
        <v>13</v>
      </c>
      <c r="E170" t="s">
        <v>452</v>
      </c>
      <c r="F170" t="s">
        <v>454</v>
      </c>
      <c r="G170" s="4">
        <v>94054900</v>
      </c>
      <c r="H170" s="4">
        <v>40</v>
      </c>
      <c r="I170" s="4">
        <v>72.03</v>
      </c>
      <c r="J170" s="4">
        <f t="shared" si="8"/>
        <v>2881.2</v>
      </c>
      <c r="K170">
        <f t="shared" si="9"/>
        <v>259.30799999999999</v>
      </c>
      <c r="L170">
        <f t="shared" si="10"/>
        <v>259.30799999999999</v>
      </c>
      <c r="M170">
        <f t="shared" si="11"/>
        <v>3399.8</v>
      </c>
    </row>
    <row r="171" spans="1:13" x14ac:dyDescent="0.25">
      <c r="A171" s="4">
        <v>1279</v>
      </c>
      <c r="B171" s="3">
        <v>46063</v>
      </c>
      <c r="C171" t="s">
        <v>38</v>
      </c>
      <c r="D171" t="s">
        <v>18</v>
      </c>
      <c r="E171" t="s">
        <v>452</v>
      </c>
      <c r="F171" t="s">
        <v>454</v>
      </c>
      <c r="G171" s="4">
        <v>94054900</v>
      </c>
      <c r="H171">
        <v>20</v>
      </c>
      <c r="I171">
        <v>266.95</v>
      </c>
      <c r="J171" s="4">
        <f t="shared" si="8"/>
        <v>5339</v>
      </c>
      <c r="K171">
        <f t="shared" si="9"/>
        <v>480.51</v>
      </c>
      <c r="L171">
        <f t="shared" si="10"/>
        <v>480.51</v>
      </c>
      <c r="M171">
        <f t="shared" si="11"/>
        <v>6300</v>
      </c>
    </row>
    <row r="172" spans="1:13" x14ac:dyDescent="0.25">
      <c r="A172" s="4">
        <v>1280</v>
      </c>
      <c r="B172" s="3">
        <v>46063</v>
      </c>
      <c r="C172" t="s">
        <v>17</v>
      </c>
      <c r="D172" t="s">
        <v>18</v>
      </c>
      <c r="E172" t="s">
        <v>452</v>
      </c>
      <c r="F172" t="s">
        <v>454</v>
      </c>
      <c r="G172" s="4">
        <v>94054900</v>
      </c>
      <c r="H172" s="4">
        <v>5</v>
      </c>
      <c r="I172" s="4">
        <v>265.25</v>
      </c>
      <c r="J172" s="4">
        <f t="shared" si="8"/>
        <v>1326.25</v>
      </c>
      <c r="K172">
        <f t="shared" si="9"/>
        <v>119.3625</v>
      </c>
      <c r="L172">
        <f t="shared" si="10"/>
        <v>119.3625</v>
      </c>
      <c r="M172">
        <f t="shared" si="11"/>
        <v>1565</v>
      </c>
    </row>
    <row r="173" spans="1:13" x14ac:dyDescent="0.25">
      <c r="A173" s="4">
        <v>1166</v>
      </c>
      <c r="B173" s="3">
        <v>46061</v>
      </c>
      <c r="C173" t="s">
        <v>115</v>
      </c>
      <c r="D173" t="s">
        <v>64</v>
      </c>
      <c r="E173" t="s">
        <v>452</v>
      </c>
      <c r="F173" t="s">
        <v>454</v>
      </c>
      <c r="G173" s="4">
        <v>94054900</v>
      </c>
      <c r="H173">
        <v>9</v>
      </c>
      <c r="I173">
        <v>150</v>
      </c>
      <c r="J173" s="4">
        <f t="shared" si="8"/>
        <v>1350</v>
      </c>
      <c r="K173">
        <f t="shared" si="9"/>
        <v>121.5</v>
      </c>
      <c r="L173">
        <f t="shared" si="10"/>
        <v>121.5</v>
      </c>
      <c r="M173">
        <f t="shared" si="11"/>
        <v>1593</v>
      </c>
    </row>
    <row r="174" spans="1:13" x14ac:dyDescent="0.25">
      <c r="A174" s="4">
        <v>1166</v>
      </c>
      <c r="B174" s="3">
        <v>46061</v>
      </c>
      <c r="C174" t="s">
        <v>115</v>
      </c>
      <c r="D174" t="s">
        <v>124</v>
      </c>
      <c r="E174" t="s">
        <v>452</v>
      </c>
      <c r="F174" t="s">
        <v>454</v>
      </c>
      <c r="G174" s="4">
        <v>94054900</v>
      </c>
      <c r="H174">
        <v>15</v>
      </c>
      <c r="I174">
        <v>167.8</v>
      </c>
      <c r="J174" s="4">
        <f t="shared" si="8"/>
        <v>2517</v>
      </c>
      <c r="K174">
        <f t="shared" si="9"/>
        <v>226.53</v>
      </c>
      <c r="L174">
        <f t="shared" si="10"/>
        <v>226.53</v>
      </c>
      <c r="M174">
        <f t="shared" si="11"/>
        <v>2970.1</v>
      </c>
    </row>
    <row r="175" spans="1:13" x14ac:dyDescent="0.25">
      <c r="A175" s="4">
        <v>1166</v>
      </c>
      <c r="B175" s="3">
        <v>46061</v>
      </c>
      <c r="C175" t="s">
        <v>115</v>
      </c>
      <c r="D175" t="s">
        <v>123</v>
      </c>
      <c r="E175" t="s">
        <v>452</v>
      </c>
      <c r="F175" t="s">
        <v>454</v>
      </c>
      <c r="G175" s="4">
        <v>94054900</v>
      </c>
      <c r="H175">
        <v>15</v>
      </c>
      <c r="I175">
        <v>122.88</v>
      </c>
      <c r="J175" s="4">
        <f t="shared" si="8"/>
        <v>1843.1999999999998</v>
      </c>
      <c r="K175">
        <f t="shared" si="9"/>
        <v>165.88799999999998</v>
      </c>
      <c r="L175">
        <f t="shared" si="10"/>
        <v>165.88799999999998</v>
      </c>
      <c r="M175">
        <f t="shared" si="11"/>
        <v>2175</v>
      </c>
    </row>
    <row r="176" spans="1:13" x14ac:dyDescent="0.25">
      <c r="A176" s="4">
        <v>1166</v>
      </c>
      <c r="B176" s="3">
        <v>46061</v>
      </c>
      <c r="C176" t="s">
        <v>115</v>
      </c>
      <c r="D176" t="s">
        <v>58</v>
      </c>
      <c r="E176" t="s">
        <v>452</v>
      </c>
      <c r="F176" t="s">
        <v>454</v>
      </c>
      <c r="G176" s="4">
        <v>94054900</v>
      </c>
      <c r="H176">
        <v>20</v>
      </c>
      <c r="I176">
        <v>169.49</v>
      </c>
      <c r="J176" s="4">
        <f t="shared" si="8"/>
        <v>3389.8</v>
      </c>
      <c r="K176">
        <f t="shared" si="9"/>
        <v>305.08199999999999</v>
      </c>
      <c r="L176">
        <f t="shared" si="10"/>
        <v>305.08199999999999</v>
      </c>
      <c r="M176">
        <f t="shared" si="11"/>
        <v>4000</v>
      </c>
    </row>
    <row r="177" spans="1:13" x14ac:dyDescent="0.25">
      <c r="A177" s="4">
        <v>1166</v>
      </c>
      <c r="B177" s="3">
        <v>46061</v>
      </c>
      <c r="C177" t="s">
        <v>115</v>
      </c>
      <c r="D177" t="s">
        <v>59</v>
      </c>
      <c r="E177" t="s">
        <v>452</v>
      </c>
      <c r="F177" t="s">
        <v>454</v>
      </c>
      <c r="G177" s="4">
        <v>94054900</v>
      </c>
      <c r="H177">
        <v>40</v>
      </c>
      <c r="I177">
        <v>206.78</v>
      </c>
      <c r="J177" s="4">
        <f t="shared" si="8"/>
        <v>8271.2000000000007</v>
      </c>
      <c r="K177">
        <f t="shared" si="9"/>
        <v>744.40800000000002</v>
      </c>
      <c r="L177">
        <f t="shared" si="10"/>
        <v>744.40800000000002</v>
      </c>
      <c r="M177">
        <f t="shared" si="11"/>
        <v>9760</v>
      </c>
    </row>
    <row r="178" spans="1:13" x14ac:dyDescent="0.25">
      <c r="A178" s="4">
        <v>1276</v>
      </c>
      <c r="B178" s="3">
        <v>46059</v>
      </c>
      <c r="C178" t="s">
        <v>25</v>
      </c>
      <c r="D178" t="s">
        <v>47</v>
      </c>
      <c r="E178" t="s">
        <v>452</v>
      </c>
      <c r="F178" t="s">
        <v>454</v>
      </c>
      <c r="G178" s="4">
        <v>94054900</v>
      </c>
      <c r="H178" s="4">
        <v>10</v>
      </c>
      <c r="I178" s="4">
        <v>182.2</v>
      </c>
      <c r="J178" s="4">
        <f t="shared" si="8"/>
        <v>1822</v>
      </c>
      <c r="K178">
        <f t="shared" si="9"/>
        <v>163.98</v>
      </c>
      <c r="L178">
        <f t="shared" si="10"/>
        <v>163.98</v>
      </c>
      <c r="M178">
        <f t="shared" si="11"/>
        <v>2150</v>
      </c>
    </row>
    <row r="179" spans="1:13" x14ac:dyDescent="0.25">
      <c r="A179" s="4">
        <v>1276</v>
      </c>
      <c r="B179" s="3">
        <v>46059</v>
      </c>
      <c r="C179" t="s">
        <v>25</v>
      </c>
      <c r="D179" t="s">
        <v>54</v>
      </c>
      <c r="E179" t="s">
        <v>452</v>
      </c>
      <c r="F179" t="s">
        <v>454</v>
      </c>
      <c r="G179" s="4">
        <v>94054900</v>
      </c>
      <c r="H179" s="4">
        <v>10</v>
      </c>
      <c r="I179" s="4">
        <v>111.02</v>
      </c>
      <c r="J179" s="4">
        <f t="shared" si="8"/>
        <v>1110.2</v>
      </c>
      <c r="K179">
        <f t="shared" si="9"/>
        <v>99.918000000000006</v>
      </c>
      <c r="L179">
        <f t="shared" si="10"/>
        <v>99.918000000000006</v>
      </c>
      <c r="M179">
        <f t="shared" si="11"/>
        <v>1310</v>
      </c>
    </row>
    <row r="180" spans="1:13" x14ac:dyDescent="0.25">
      <c r="A180" s="4">
        <v>1277</v>
      </c>
      <c r="B180" s="3">
        <v>46059</v>
      </c>
      <c r="C180" t="s">
        <v>22</v>
      </c>
      <c r="D180" t="s">
        <v>24</v>
      </c>
      <c r="E180" t="s">
        <v>452</v>
      </c>
      <c r="F180" t="s">
        <v>454</v>
      </c>
      <c r="G180" s="4">
        <v>94054900</v>
      </c>
      <c r="H180" s="4">
        <v>2</v>
      </c>
      <c r="I180" s="4">
        <v>218.64</v>
      </c>
      <c r="J180" s="4">
        <f t="shared" si="8"/>
        <v>437.28</v>
      </c>
      <c r="K180">
        <f t="shared" si="9"/>
        <v>39.355199999999996</v>
      </c>
      <c r="L180">
        <f t="shared" si="10"/>
        <v>39.355199999999996</v>
      </c>
      <c r="M180">
        <f t="shared" si="11"/>
        <v>516</v>
      </c>
    </row>
    <row r="181" spans="1:13" x14ac:dyDescent="0.25">
      <c r="A181" s="4">
        <v>1277</v>
      </c>
      <c r="B181" s="3">
        <v>46059</v>
      </c>
      <c r="C181" t="s">
        <v>22</v>
      </c>
      <c r="D181" t="s">
        <v>18</v>
      </c>
      <c r="E181" t="s">
        <v>452</v>
      </c>
      <c r="F181" t="s">
        <v>454</v>
      </c>
      <c r="G181" s="4">
        <v>94054900</v>
      </c>
      <c r="H181" s="4">
        <v>2</v>
      </c>
      <c r="I181" s="4">
        <v>264.41000000000003</v>
      </c>
      <c r="J181" s="4">
        <f t="shared" si="8"/>
        <v>528.82000000000005</v>
      </c>
      <c r="K181">
        <f t="shared" si="9"/>
        <v>47.593800000000002</v>
      </c>
      <c r="L181">
        <f t="shared" si="10"/>
        <v>47.593800000000002</v>
      </c>
      <c r="M181">
        <f t="shared" si="11"/>
        <v>624</v>
      </c>
    </row>
    <row r="182" spans="1:13" x14ac:dyDescent="0.25">
      <c r="A182" s="4">
        <v>1277</v>
      </c>
      <c r="B182" s="3">
        <v>46059</v>
      </c>
      <c r="C182" t="s">
        <v>22</v>
      </c>
      <c r="D182" t="s">
        <v>72</v>
      </c>
      <c r="E182" t="s">
        <v>452</v>
      </c>
      <c r="F182" t="s">
        <v>454</v>
      </c>
      <c r="G182" s="4">
        <v>94054900</v>
      </c>
      <c r="H182" s="4">
        <v>2</v>
      </c>
      <c r="I182" s="4">
        <v>169.49</v>
      </c>
      <c r="J182" s="4">
        <f t="shared" si="8"/>
        <v>338.98</v>
      </c>
      <c r="K182">
        <f t="shared" si="9"/>
        <v>30.508200000000002</v>
      </c>
      <c r="L182">
        <f t="shared" si="10"/>
        <v>30.508200000000002</v>
      </c>
      <c r="M182">
        <f t="shared" si="11"/>
        <v>400</v>
      </c>
    </row>
    <row r="183" spans="1:13" x14ac:dyDescent="0.25">
      <c r="A183" s="4">
        <v>1277</v>
      </c>
      <c r="B183" s="3">
        <v>46059</v>
      </c>
      <c r="C183" t="s">
        <v>22</v>
      </c>
      <c r="D183" t="s">
        <v>36</v>
      </c>
      <c r="E183" t="s">
        <v>452</v>
      </c>
      <c r="F183" t="s">
        <v>454</v>
      </c>
      <c r="G183" s="4">
        <v>94054900</v>
      </c>
      <c r="H183" s="4">
        <v>2</v>
      </c>
      <c r="I183" s="4">
        <v>322.02999999999997</v>
      </c>
      <c r="J183" s="4">
        <f t="shared" si="8"/>
        <v>644.05999999999995</v>
      </c>
      <c r="K183">
        <f t="shared" si="9"/>
        <v>57.965399999999995</v>
      </c>
      <c r="L183">
        <f t="shared" si="10"/>
        <v>57.965399999999995</v>
      </c>
      <c r="M183">
        <f t="shared" si="11"/>
        <v>760</v>
      </c>
    </row>
    <row r="184" spans="1:13" x14ac:dyDescent="0.25">
      <c r="A184" s="4">
        <v>1277</v>
      </c>
      <c r="B184" s="3">
        <v>46059</v>
      </c>
      <c r="C184" t="s">
        <v>22</v>
      </c>
      <c r="D184" t="s">
        <v>54</v>
      </c>
      <c r="E184" t="s">
        <v>452</v>
      </c>
      <c r="F184" t="s">
        <v>454</v>
      </c>
      <c r="G184" s="4">
        <v>94054900</v>
      </c>
      <c r="H184" s="4">
        <v>15</v>
      </c>
      <c r="I184" s="4">
        <v>114.41</v>
      </c>
      <c r="J184" s="4">
        <f t="shared" si="8"/>
        <v>1716.1499999999999</v>
      </c>
      <c r="K184">
        <f t="shared" si="9"/>
        <v>154.45349999999999</v>
      </c>
      <c r="L184">
        <f t="shared" si="10"/>
        <v>154.45349999999999</v>
      </c>
      <c r="M184">
        <f t="shared" si="11"/>
        <v>2025.1</v>
      </c>
    </row>
    <row r="185" spans="1:13" x14ac:dyDescent="0.25">
      <c r="A185" s="4">
        <v>1277</v>
      </c>
      <c r="B185" s="3">
        <v>46059</v>
      </c>
      <c r="C185" t="s">
        <v>22</v>
      </c>
      <c r="D185" t="s">
        <v>73</v>
      </c>
      <c r="E185" t="s">
        <v>452</v>
      </c>
      <c r="F185" t="s">
        <v>454</v>
      </c>
      <c r="G185" s="4">
        <v>94054900</v>
      </c>
      <c r="H185" s="4">
        <v>2</v>
      </c>
      <c r="I185" s="4">
        <v>469.49</v>
      </c>
      <c r="J185" s="4">
        <f t="shared" si="8"/>
        <v>938.98</v>
      </c>
      <c r="K185">
        <f t="shared" si="9"/>
        <v>84.508200000000002</v>
      </c>
      <c r="L185">
        <f t="shared" si="10"/>
        <v>84.508200000000002</v>
      </c>
      <c r="M185">
        <f t="shared" si="11"/>
        <v>1108</v>
      </c>
    </row>
    <row r="186" spans="1:13" x14ac:dyDescent="0.25">
      <c r="A186" s="4">
        <v>1274</v>
      </c>
      <c r="B186" s="3">
        <v>46058</v>
      </c>
      <c r="C186" t="s">
        <v>38</v>
      </c>
      <c r="D186" t="s">
        <v>24</v>
      </c>
      <c r="E186" t="s">
        <v>452</v>
      </c>
      <c r="F186" t="s">
        <v>454</v>
      </c>
      <c r="G186" s="4">
        <v>94054900</v>
      </c>
      <c r="H186">
        <v>20</v>
      </c>
      <c r="I186">
        <v>218.64</v>
      </c>
      <c r="J186" s="4">
        <f t="shared" si="8"/>
        <v>4372.7999999999993</v>
      </c>
      <c r="K186">
        <f t="shared" si="9"/>
        <v>393.55199999999991</v>
      </c>
      <c r="L186">
        <f t="shared" si="10"/>
        <v>393.55199999999991</v>
      </c>
      <c r="M186">
        <f t="shared" si="11"/>
        <v>5159.8999999999996</v>
      </c>
    </row>
    <row r="187" spans="1:13" x14ac:dyDescent="0.25">
      <c r="A187" s="4">
        <v>1274</v>
      </c>
      <c r="B187" s="3">
        <v>46058</v>
      </c>
      <c r="C187" t="s">
        <v>38</v>
      </c>
      <c r="D187" t="s">
        <v>36</v>
      </c>
      <c r="E187" t="s">
        <v>452</v>
      </c>
      <c r="F187" t="s">
        <v>454</v>
      </c>
      <c r="G187" s="4">
        <v>94054900</v>
      </c>
      <c r="H187">
        <v>20</v>
      </c>
      <c r="I187">
        <v>322.02999999999997</v>
      </c>
      <c r="J187" s="4">
        <f t="shared" si="8"/>
        <v>6440.5999999999995</v>
      </c>
      <c r="K187">
        <f t="shared" si="9"/>
        <v>579.65399999999988</v>
      </c>
      <c r="L187">
        <f t="shared" si="10"/>
        <v>579.65399999999988</v>
      </c>
      <c r="M187">
        <f t="shared" si="11"/>
        <v>7599.9</v>
      </c>
    </row>
    <row r="188" spans="1:13" x14ac:dyDescent="0.25">
      <c r="A188" s="4">
        <v>1275</v>
      </c>
      <c r="B188" s="3">
        <v>46058</v>
      </c>
      <c r="C188" t="s">
        <v>10</v>
      </c>
      <c r="D188" t="s">
        <v>147</v>
      </c>
      <c r="E188" t="s">
        <v>452</v>
      </c>
      <c r="F188" t="s">
        <v>454</v>
      </c>
      <c r="G188" s="4">
        <v>94054900</v>
      </c>
      <c r="H188">
        <v>10</v>
      </c>
      <c r="I188">
        <v>129.66</v>
      </c>
      <c r="J188" s="4">
        <f t="shared" si="8"/>
        <v>1296.5999999999999</v>
      </c>
      <c r="K188">
        <f t="shared" si="9"/>
        <v>116.69399999999999</v>
      </c>
      <c r="L188">
        <f t="shared" si="10"/>
        <v>116.69399999999999</v>
      </c>
      <c r="M188">
        <f t="shared" si="11"/>
        <v>1530</v>
      </c>
    </row>
    <row r="189" spans="1:13" x14ac:dyDescent="0.25">
      <c r="A189" s="4">
        <v>1164</v>
      </c>
      <c r="B189" s="3">
        <v>46057</v>
      </c>
      <c r="C189" t="s">
        <v>129</v>
      </c>
      <c r="D189" t="s">
        <v>68</v>
      </c>
      <c r="E189" t="s">
        <v>452</v>
      </c>
      <c r="F189" t="s">
        <v>454</v>
      </c>
      <c r="G189" s="4">
        <v>94054900</v>
      </c>
      <c r="H189">
        <v>6</v>
      </c>
      <c r="I189">
        <v>398.3</v>
      </c>
      <c r="J189" s="4">
        <f t="shared" si="8"/>
        <v>2389.8000000000002</v>
      </c>
      <c r="K189">
        <f t="shared" si="9"/>
        <v>215.08200000000002</v>
      </c>
      <c r="L189">
        <f t="shared" si="10"/>
        <v>215.08200000000002</v>
      </c>
      <c r="M189">
        <f t="shared" si="11"/>
        <v>2820</v>
      </c>
    </row>
    <row r="190" spans="1:13" x14ac:dyDescent="0.25">
      <c r="A190" s="4">
        <v>1164</v>
      </c>
      <c r="B190" s="3">
        <v>46057</v>
      </c>
      <c r="C190" t="s">
        <v>129</v>
      </c>
      <c r="D190" t="s">
        <v>136</v>
      </c>
      <c r="E190" t="s">
        <v>452</v>
      </c>
      <c r="F190" t="s">
        <v>454</v>
      </c>
      <c r="G190" s="4">
        <v>94054900</v>
      </c>
      <c r="H190">
        <v>6</v>
      </c>
      <c r="I190">
        <v>521.17999999999995</v>
      </c>
      <c r="J190" s="4">
        <f t="shared" si="8"/>
        <v>3127.08</v>
      </c>
      <c r="K190">
        <f t="shared" si="9"/>
        <v>281.43719999999996</v>
      </c>
      <c r="L190">
        <f t="shared" si="10"/>
        <v>281.43719999999996</v>
      </c>
      <c r="M190">
        <f t="shared" si="11"/>
        <v>3690</v>
      </c>
    </row>
    <row r="191" spans="1:13" x14ac:dyDescent="0.25">
      <c r="A191" s="4">
        <v>1164</v>
      </c>
      <c r="B191" s="3">
        <v>46057</v>
      </c>
      <c r="C191" t="s">
        <v>129</v>
      </c>
      <c r="D191" t="s">
        <v>21</v>
      </c>
      <c r="E191" t="s">
        <v>452</v>
      </c>
      <c r="F191" t="s">
        <v>454</v>
      </c>
      <c r="G191" s="4">
        <v>94054900</v>
      </c>
      <c r="H191">
        <v>10</v>
      </c>
      <c r="I191">
        <v>117.79</v>
      </c>
      <c r="J191" s="4">
        <f t="shared" si="8"/>
        <v>1177.9000000000001</v>
      </c>
      <c r="K191">
        <f t="shared" si="9"/>
        <v>106.01100000000001</v>
      </c>
      <c r="L191">
        <f t="shared" si="10"/>
        <v>106.01100000000001</v>
      </c>
      <c r="M191">
        <f t="shared" si="11"/>
        <v>1389.9</v>
      </c>
    </row>
    <row r="192" spans="1:13" x14ac:dyDescent="0.25">
      <c r="A192" s="4">
        <v>1164</v>
      </c>
      <c r="B192" s="3">
        <v>46057</v>
      </c>
      <c r="C192" t="s">
        <v>129</v>
      </c>
      <c r="D192" t="s">
        <v>36</v>
      </c>
      <c r="E192" t="s">
        <v>452</v>
      </c>
      <c r="F192" t="s">
        <v>454</v>
      </c>
      <c r="G192" s="4">
        <v>94054900</v>
      </c>
      <c r="H192">
        <v>5</v>
      </c>
      <c r="I192">
        <v>322.02999999999997</v>
      </c>
      <c r="J192" s="4">
        <f t="shared" si="8"/>
        <v>1610.1499999999999</v>
      </c>
      <c r="K192">
        <f t="shared" si="9"/>
        <v>144.91349999999997</v>
      </c>
      <c r="L192">
        <f t="shared" si="10"/>
        <v>144.91349999999997</v>
      </c>
      <c r="M192">
        <f t="shared" si="11"/>
        <v>1900</v>
      </c>
    </row>
    <row r="193" spans="1:13" x14ac:dyDescent="0.25">
      <c r="A193" s="4">
        <v>1164</v>
      </c>
      <c r="B193" s="3">
        <v>46057</v>
      </c>
      <c r="C193" t="s">
        <v>129</v>
      </c>
      <c r="D193" t="s">
        <v>47</v>
      </c>
      <c r="E193" t="s">
        <v>452</v>
      </c>
      <c r="F193" t="s">
        <v>454</v>
      </c>
      <c r="G193" s="4">
        <v>94054900</v>
      </c>
      <c r="H193">
        <v>6</v>
      </c>
      <c r="I193">
        <v>182.2</v>
      </c>
      <c r="J193" s="4">
        <f t="shared" si="8"/>
        <v>1093.1999999999998</v>
      </c>
      <c r="K193">
        <f t="shared" si="9"/>
        <v>98.387999999999977</v>
      </c>
      <c r="L193">
        <f t="shared" si="10"/>
        <v>98.387999999999977</v>
      </c>
      <c r="M193">
        <f t="shared" si="11"/>
        <v>1290</v>
      </c>
    </row>
    <row r="194" spans="1:13" x14ac:dyDescent="0.25">
      <c r="A194" s="4">
        <v>1164</v>
      </c>
      <c r="B194" s="3">
        <v>46057</v>
      </c>
      <c r="C194" t="s">
        <v>129</v>
      </c>
      <c r="D194" t="s">
        <v>59</v>
      </c>
      <c r="E194" t="s">
        <v>452</v>
      </c>
      <c r="F194" t="s">
        <v>454</v>
      </c>
      <c r="G194" s="4">
        <v>94054900</v>
      </c>
      <c r="H194">
        <v>20</v>
      </c>
      <c r="I194">
        <v>212.71</v>
      </c>
      <c r="J194" s="4">
        <f t="shared" si="8"/>
        <v>4254.2</v>
      </c>
      <c r="K194">
        <f t="shared" si="9"/>
        <v>382.87799999999999</v>
      </c>
      <c r="L194">
        <f t="shared" si="10"/>
        <v>382.87799999999999</v>
      </c>
      <c r="M194">
        <f t="shared" si="11"/>
        <v>5020</v>
      </c>
    </row>
    <row r="195" spans="1:13" x14ac:dyDescent="0.25">
      <c r="A195" s="4">
        <v>1271</v>
      </c>
      <c r="B195" s="3">
        <v>46056</v>
      </c>
      <c r="C195" t="s">
        <v>65</v>
      </c>
      <c r="D195" t="s">
        <v>13</v>
      </c>
      <c r="E195" t="s">
        <v>452</v>
      </c>
      <c r="F195" t="s">
        <v>454</v>
      </c>
      <c r="G195" s="4">
        <v>94054900</v>
      </c>
      <c r="H195" s="4">
        <v>20</v>
      </c>
      <c r="I195" s="4">
        <v>80.510000000000005</v>
      </c>
      <c r="J195" s="4">
        <f t="shared" ref="J195:J258" si="12">I195*H195</f>
        <v>1610.2</v>
      </c>
      <c r="K195">
        <f t="shared" ref="K195:K258" si="13">J195*0.09</f>
        <v>144.91800000000001</v>
      </c>
      <c r="L195">
        <f t="shared" ref="L195:L258" si="14">K195</f>
        <v>144.91800000000001</v>
      </c>
      <c r="M195">
        <f t="shared" ref="M195:M258" si="15">ROUND(J195*1.18,1)</f>
        <v>1900</v>
      </c>
    </row>
    <row r="196" spans="1:13" x14ac:dyDescent="0.25">
      <c r="A196" s="4">
        <v>1271</v>
      </c>
      <c r="B196" s="3">
        <v>46056</v>
      </c>
      <c r="C196" t="s">
        <v>65</v>
      </c>
      <c r="D196" t="s">
        <v>59</v>
      </c>
      <c r="E196" t="s">
        <v>452</v>
      </c>
      <c r="F196" t="s">
        <v>454</v>
      </c>
      <c r="G196" s="4">
        <v>94054900</v>
      </c>
      <c r="H196" s="4">
        <v>20</v>
      </c>
      <c r="I196" s="4">
        <v>212.71</v>
      </c>
      <c r="J196" s="4">
        <f t="shared" si="12"/>
        <v>4254.2</v>
      </c>
      <c r="K196">
        <f t="shared" si="13"/>
        <v>382.87799999999999</v>
      </c>
      <c r="L196">
        <f t="shared" si="14"/>
        <v>382.87799999999999</v>
      </c>
      <c r="M196">
        <f t="shared" si="15"/>
        <v>5020</v>
      </c>
    </row>
    <row r="197" spans="1:13" x14ac:dyDescent="0.25">
      <c r="A197" s="4">
        <v>1272</v>
      </c>
      <c r="B197" s="3">
        <v>46056</v>
      </c>
      <c r="C197" t="s">
        <v>146</v>
      </c>
      <c r="D197" t="s">
        <v>47</v>
      </c>
      <c r="E197" t="s">
        <v>452</v>
      </c>
      <c r="F197" t="s">
        <v>454</v>
      </c>
      <c r="G197" s="4">
        <v>94054900</v>
      </c>
      <c r="H197">
        <v>10</v>
      </c>
      <c r="I197">
        <v>183.05</v>
      </c>
      <c r="J197" s="4">
        <f t="shared" si="12"/>
        <v>1830.5</v>
      </c>
      <c r="K197">
        <f t="shared" si="13"/>
        <v>164.745</v>
      </c>
      <c r="L197">
        <f t="shared" si="14"/>
        <v>164.745</v>
      </c>
      <c r="M197">
        <f t="shared" si="15"/>
        <v>2160</v>
      </c>
    </row>
    <row r="198" spans="1:13" x14ac:dyDescent="0.25">
      <c r="A198" s="4">
        <v>1273</v>
      </c>
      <c r="B198" s="3">
        <v>46056</v>
      </c>
      <c r="C198" t="s">
        <v>17</v>
      </c>
      <c r="D198" t="s">
        <v>72</v>
      </c>
      <c r="E198" t="s">
        <v>452</v>
      </c>
      <c r="F198" t="s">
        <v>454</v>
      </c>
      <c r="G198" s="4">
        <v>94054900</v>
      </c>
      <c r="H198" s="4">
        <v>5</v>
      </c>
      <c r="I198" s="4">
        <v>194.92</v>
      </c>
      <c r="J198" s="4">
        <f t="shared" si="12"/>
        <v>974.59999999999991</v>
      </c>
      <c r="K198">
        <f t="shared" si="13"/>
        <v>87.713999999999984</v>
      </c>
      <c r="L198">
        <f t="shared" si="14"/>
        <v>87.713999999999984</v>
      </c>
      <c r="M198">
        <f t="shared" si="15"/>
        <v>1150</v>
      </c>
    </row>
    <row r="199" spans="1:13" x14ac:dyDescent="0.25">
      <c r="A199" s="4">
        <v>1273</v>
      </c>
      <c r="B199" s="3">
        <v>46056</v>
      </c>
      <c r="C199" t="s">
        <v>17</v>
      </c>
      <c r="D199" t="s">
        <v>24</v>
      </c>
      <c r="E199" t="s">
        <v>452</v>
      </c>
      <c r="F199" t="s">
        <v>454</v>
      </c>
      <c r="G199" s="4">
        <v>94054900</v>
      </c>
      <c r="H199" s="4">
        <v>5</v>
      </c>
      <c r="I199" s="4">
        <v>218.64</v>
      </c>
      <c r="J199" s="4">
        <f t="shared" si="12"/>
        <v>1093.1999999999998</v>
      </c>
      <c r="K199">
        <f t="shared" si="13"/>
        <v>98.387999999999977</v>
      </c>
      <c r="L199">
        <f t="shared" si="14"/>
        <v>98.387999999999977</v>
      </c>
      <c r="M199">
        <f t="shared" si="15"/>
        <v>1290</v>
      </c>
    </row>
    <row r="200" spans="1:13" x14ac:dyDescent="0.25">
      <c r="A200" s="4">
        <v>1270</v>
      </c>
      <c r="B200" s="3">
        <v>46051</v>
      </c>
      <c r="C200" t="s">
        <v>20</v>
      </c>
      <c r="D200" t="s">
        <v>15</v>
      </c>
      <c r="E200" t="s">
        <v>452</v>
      </c>
      <c r="F200" t="s">
        <v>454</v>
      </c>
      <c r="G200" s="4">
        <v>94054900</v>
      </c>
      <c r="H200">
        <v>20</v>
      </c>
      <c r="I200">
        <v>118.64</v>
      </c>
      <c r="J200" s="4">
        <f t="shared" si="12"/>
        <v>2372.8000000000002</v>
      </c>
      <c r="K200">
        <f t="shared" si="13"/>
        <v>213.55200000000002</v>
      </c>
      <c r="L200">
        <f t="shared" si="14"/>
        <v>213.55200000000002</v>
      </c>
      <c r="M200">
        <f t="shared" si="15"/>
        <v>2799.9</v>
      </c>
    </row>
    <row r="201" spans="1:13" x14ac:dyDescent="0.25">
      <c r="A201" s="4">
        <v>1268</v>
      </c>
      <c r="B201" s="3">
        <v>46050</v>
      </c>
      <c r="C201" t="s">
        <v>146</v>
      </c>
      <c r="D201" t="s">
        <v>13</v>
      </c>
      <c r="E201" t="s">
        <v>452</v>
      </c>
      <c r="F201" t="s">
        <v>454</v>
      </c>
      <c r="G201" s="4">
        <v>94054900</v>
      </c>
      <c r="H201" s="4">
        <v>40</v>
      </c>
      <c r="I201" s="4">
        <v>80.510000000000005</v>
      </c>
      <c r="J201" s="4">
        <f t="shared" si="12"/>
        <v>3220.4</v>
      </c>
      <c r="K201">
        <f t="shared" si="13"/>
        <v>289.83600000000001</v>
      </c>
      <c r="L201">
        <f t="shared" si="14"/>
        <v>289.83600000000001</v>
      </c>
      <c r="M201">
        <f t="shared" si="15"/>
        <v>3800.1</v>
      </c>
    </row>
    <row r="202" spans="1:13" x14ac:dyDescent="0.25">
      <c r="A202" s="4">
        <v>1268</v>
      </c>
      <c r="B202" s="3">
        <v>46050</v>
      </c>
      <c r="C202" t="s">
        <v>146</v>
      </c>
      <c r="D202" t="s">
        <v>147</v>
      </c>
      <c r="E202" t="s">
        <v>452</v>
      </c>
      <c r="F202" t="s">
        <v>454</v>
      </c>
      <c r="G202" s="4">
        <v>94054900</v>
      </c>
      <c r="H202" s="4">
        <v>20</v>
      </c>
      <c r="I202" s="4">
        <v>130.51</v>
      </c>
      <c r="J202" s="4">
        <f t="shared" si="12"/>
        <v>2610.1999999999998</v>
      </c>
      <c r="K202">
        <f t="shared" si="13"/>
        <v>234.91799999999998</v>
      </c>
      <c r="L202">
        <f t="shared" si="14"/>
        <v>234.91799999999998</v>
      </c>
      <c r="M202">
        <f t="shared" si="15"/>
        <v>3080</v>
      </c>
    </row>
    <row r="203" spans="1:13" x14ac:dyDescent="0.25">
      <c r="A203" s="4">
        <v>1268</v>
      </c>
      <c r="B203" s="3">
        <v>46050</v>
      </c>
      <c r="C203" t="s">
        <v>146</v>
      </c>
      <c r="D203" t="s">
        <v>30</v>
      </c>
      <c r="E203" t="s">
        <v>452</v>
      </c>
      <c r="F203" t="s">
        <v>454</v>
      </c>
      <c r="G203" s="4">
        <v>94054900</v>
      </c>
      <c r="H203" s="4">
        <v>8</v>
      </c>
      <c r="I203" s="4">
        <v>279.66000000000003</v>
      </c>
      <c r="J203" s="4">
        <f t="shared" si="12"/>
        <v>2237.2800000000002</v>
      </c>
      <c r="K203">
        <f t="shared" si="13"/>
        <v>201.3552</v>
      </c>
      <c r="L203">
        <f t="shared" si="14"/>
        <v>201.3552</v>
      </c>
      <c r="M203">
        <f t="shared" si="15"/>
        <v>2640</v>
      </c>
    </row>
    <row r="204" spans="1:13" x14ac:dyDescent="0.25">
      <c r="A204" s="4">
        <v>1268</v>
      </c>
      <c r="B204" s="3">
        <v>46050</v>
      </c>
      <c r="C204" t="s">
        <v>146</v>
      </c>
      <c r="D204" t="s">
        <v>30</v>
      </c>
      <c r="E204" t="s">
        <v>452</v>
      </c>
      <c r="F204" t="s">
        <v>454</v>
      </c>
      <c r="G204" s="4">
        <v>94054900</v>
      </c>
      <c r="H204" s="4">
        <v>3</v>
      </c>
      <c r="I204" s="4">
        <v>0</v>
      </c>
      <c r="J204" s="4">
        <f t="shared" si="12"/>
        <v>0</v>
      </c>
      <c r="K204">
        <f t="shared" si="13"/>
        <v>0</v>
      </c>
      <c r="L204">
        <f t="shared" si="14"/>
        <v>0</v>
      </c>
      <c r="M204">
        <f t="shared" si="15"/>
        <v>0</v>
      </c>
    </row>
    <row r="205" spans="1:13" x14ac:dyDescent="0.25">
      <c r="A205" s="4">
        <v>1269</v>
      </c>
      <c r="B205" s="3">
        <v>46050</v>
      </c>
      <c r="C205" t="s">
        <v>41</v>
      </c>
      <c r="D205" t="s">
        <v>26</v>
      </c>
      <c r="E205" t="s">
        <v>452</v>
      </c>
      <c r="F205" t="s">
        <v>454</v>
      </c>
      <c r="G205" s="4">
        <v>94054900</v>
      </c>
      <c r="H205" s="4">
        <v>20</v>
      </c>
      <c r="I205" s="4">
        <v>50.85</v>
      </c>
      <c r="J205" s="4">
        <f t="shared" si="12"/>
        <v>1017</v>
      </c>
      <c r="K205">
        <f t="shared" si="13"/>
        <v>91.53</v>
      </c>
      <c r="L205">
        <f t="shared" si="14"/>
        <v>91.53</v>
      </c>
      <c r="M205">
        <f t="shared" si="15"/>
        <v>1200.0999999999999</v>
      </c>
    </row>
    <row r="206" spans="1:13" x14ac:dyDescent="0.25">
      <c r="A206" s="4">
        <v>1269</v>
      </c>
      <c r="B206" s="3">
        <v>46050</v>
      </c>
      <c r="C206" t="s">
        <v>41</v>
      </c>
      <c r="D206" t="s">
        <v>14</v>
      </c>
      <c r="E206" t="s">
        <v>452</v>
      </c>
      <c r="F206" t="s">
        <v>454</v>
      </c>
      <c r="G206" s="4">
        <v>94054900</v>
      </c>
      <c r="H206" s="4">
        <v>20</v>
      </c>
      <c r="I206" s="4">
        <v>63.56</v>
      </c>
      <c r="J206" s="4">
        <f t="shared" si="12"/>
        <v>1271.2</v>
      </c>
      <c r="K206">
        <f t="shared" si="13"/>
        <v>114.408</v>
      </c>
      <c r="L206">
        <f t="shared" si="14"/>
        <v>114.408</v>
      </c>
      <c r="M206">
        <f t="shared" si="15"/>
        <v>1500</v>
      </c>
    </row>
    <row r="207" spans="1:13" x14ac:dyDescent="0.25">
      <c r="A207" s="4">
        <v>1269</v>
      </c>
      <c r="B207" s="3">
        <v>46050</v>
      </c>
      <c r="C207" t="s">
        <v>41</v>
      </c>
      <c r="D207" t="s">
        <v>15</v>
      </c>
      <c r="E207" t="s">
        <v>452</v>
      </c>
      <c r="F207" t="s">
        <v>454</v>
      </c>
      <c r="G207" s="4">
        <v>94054900</v>
      </c>
      <c r="H207" s="4">
        <v>20</v>
      </c>
      <c r="I207" s="4">
        <v>127.12</v>
      </c>
      <c r="J207" s="4">
        <f t="shared" si="12"/>
        <v>2542.4</v>
      </c>
      <c r="K207">
        <f t="shared" si="13"/>
        <v>228.816</v>
      </c>
      <c r="L207">
        <f t="shared" si="14"/>
        <v>228.816</v>
      </c>
      <c r="M207">
        <f t="shared" si="15"/>
        <v>3000</v>
      </c>
    </row>
    <row r="208" spans="1:13" x14ac:dyDescent="0.25">
      <c r="A208" s="4">
        <v>1269</v>
      </c>
      <c r="B208" s="3">
        <v>46050</v>
      </c>
      <c r="C208" t="s">
        <v>41</v>
      </c>
      <c r="D208" t="s">
        <v>72</v>
      </c>
      <c r="E208" t="s">
        <v>452</v>
      </c>
      <c r="F208" t="s">
        <v>454</v>
      </c>
      <c r="G208" s="4">
        <v>94054900</v>
      </c>
      <c r="H208" s="4">
        <v>5</v>
      </c>
      <c r="I208" s="4">
        <v>211.86</v>
      </c>
      <c r="J208" s="4">
        <f t="shared" si="12"/>
        <v>1059.3000000000002</v>
      </c>
      <c r="K208">
        <f t="shared" si="13"/>
        <v>95.337000000000018</v>
      </c>
      <c r="L208">
        <f t="shared" si="14"/>
        <v>95.337000000000018</v>
      </c>
      <c r="M208">
        <f t="shared" si="15"/>
        <v>1250</v>
      </c>
    </row>
    <row r="209" spans="1:13" x14ac:dyDescent="0.25">
      <c r="A209" s="4">
        <v>1162</v>
      </c>
      <c r="B209" s="3">
        <v>46049</v>
      </c>
      <c r="C209" t="s">
        <v>129</v>
      </c>
      <c r="D209" t="s">
        <v>13</v>
      </c>
      <c r="E209" t="s">
        <v>452</v>
      </c>
      <c r="F209" t="s">
        <v>454</v>
      </c>
      <c r="G209" s="4">
        <v>94054900</v>
      </c>
      <c r="H209" s="4">
        <v>40</v>
      </c>
      <c r="I209" s="4">
        <v>71.19</v>
      </c>
      <c r="J209" s="4">
        <f t="shared" si="12"/>
        <v>2847.6</v>
      </c>
      <c r="K209">
        <f t="shared" si="13"/>
        <v>256.28399999999999</v>
      </c>
      <c r="L209">
        <f t="shared" si="14"/>
        <v>256.28399999999999</v>
      </c>
      <c r="M209">
        <f t="shared" si="15"/>
        <v>3360.2</v>
      </c>
    </row>
    <row r="210" spans="1:13" x14ac:dyDescent="0.25">
      <c r="A210" s="4">
        <v>1267</v>
      </c>
      <c r="B210" s="3">
        <v>46043</v>
      </c>
      <c r="C210" t="s">
        <v>38</v>
      </c>
      <c r="D210" t="s">
        <v>59</v>
      </c>
      <c r="E210" t="s">
        <v>452</v>
      </c>
      <c r="F210" t="s">
        <v>454</v>
      </c>
      <c r="G210" s="4">
        <v>94054900</v>
      </c>
      <c r="H210" s="4">
        <v>40</v>
      </c>
      <c r="I210" s="4">
        <v>212.71</v>
      </c>
      <c r="J210" s="4">
        <f t="shared" si="12"/>
        <v>8508.4</v>
      </c>
      <c r="K210">
        <f t="shared" si="13"/>
        <v>765.75599999999997</v>
      </c>
      <c r="L210">
        <f t="shared" si="14"/>
        <v>765.75599999999997</v>
      </c>
      <c r="M210">
        <f t="shared" si="15"/>
        <v>10039.9</v>
      </c>
    </row>
    <row r="211" spans="1:13" x14ac:dyDescent="0.25">
      <c r="A211" s="4">
        <v>1267</v>
      </c>
      <c r="B211" s="3">
        <v>46043</v>
      </c>
      <c r="C211" t="s">
        <v>38</v>
      </c>
      <c r="D211" t="s">
        <v>61</v>
      </c>
      <c r="E211" t="s">
        <v>452</v>
      </c>
      <c r="F211" t="s">
        <v>454</v>
      </c>
      <c r="G211" s="4">
        <v>94054900</v>
      </c>
      <c r="H211" s="4">
        <v>3</v>
      </c>
      <c r="I211" s="4">
        <v>222.03</v>
      </c>
      <c r="J211" s="4">
        <f t="shared" si="12"/>
        <v>666.09</v>
      </c>
      <c r="K211">
        <f t="shared" si="13"/>
        <v>59.948100000000004</v>
      </c>
      <c r="L211">
        <f t="shared" si="14"/>
        <v>59.948100000000004</v>
      </c>
      <c r="M211">
        <f t="shared" si="15"/>
        <v>786</v>
      </c>
    </row>
    <row r="212" spans="1:13" x14ac:dyDescent="0.25">
      <c r="A212" s="4">
        <v>1267</v>
      </c>
      <c r="B212" s="3">
        <v>46043</v>
      </c>
      <c r="C212" t="s">
        <v>38</v>
      </c>
      <c r="D212" t="s">
        <v>62</v>
      </c>
      <c r="E212" t="s">
        <v>452</v>
      </c>
      <c r="F212" t="s">
        <v>454</v>
      </c>
      <c r="G212" s="4">
        <v>94054900</v>
      </c>
      <c r="H212" s="4">
        <v>3</v>
      </c>
      <c r="I212" s="4">
        <v>270.33999999999997</v>
      </c>
      <c r="J212" s="4">
        <f t="shared" si="12"/>
        <v>811.02</v>
      </c>
      <c r="K212">
        <f t="shared" si="13"/>
        <v>72.991799999999998</v>
      </c>
      <c r="L212">
        <f t="shared" si="14"/>
        <v>72.991799999999998</v>
      </c>
      <c r="M212">
        <f t="shared" si="15"/>
        <v>957</v>
      </c>
    </row>
    <row r="213" spans="1:13" x14ac:dyDescent="0.25">
      <c r="A213" s="4">
        <v>1267</v>
      </c>
      <c r="B213" s="3">
        <v>46043</v>
      </c>
      <c r="C213" t="s">
        <v>38</v>
      </c>
      <c r="D213" t="s">
        <v>30</v>
      </c>
      <c r="E213" t="s">
        <v>452</v>
      </c>
      <c r="F213" t="s">
        <v>454</v>
      </c>
      <c r="G213" s="4">
        <v>94054900</v>
      </c>
      <c r="H213" s="4">
        <v>20</v>
      </c>
      <c r="I213" s="4">
        <v>296.61</v>
      </c>
      <c r="J213" s="4">
        <f t="shared" si="12"/>
        <v>5932.2000000000007</v>
      </c>
      <c r="K213">
        <f t="shared" si="13"/>
        <v>533.89800000000002</v>
      </c>
      <c r="L213">
        <f t="shared" si="14"/>
        <v>533.89800000000002</v>
      </c>
      <c r="M213">
        <f t="shared" si="15"/>
        <v>7000</v>
      </c>
    </row>
    <row r="214" spans="1:13" x14ac:dyDescent="0.25">
      <c r="A214" s="4">
        <v>1267</v>
      </c>
      <c r="B214" s="3">
        <v>46043</v>
      </c>
      <c r="C214" t="s">
        <v>38</v>
      </c>
      <c r="D214" t="s">
        <v>73</v>
      </c>
      <c r="E214" t="s">
        <v>452</v>
      </c>
      <c r="F214" t="s">
        <v>454</v>
      </c>
      <c r="G214" s="4">
        <v>94054900</v>
      </c>
      <c r="H214" s="4">
        <v>2</v>
      </c>
      <c r="I214" s="4">
        <v>483.05</v>
      </c>
      <c r="J214" s="4">
        <f t="shared" si="12"/>
        <v>966.1</v>
      </c>
      <c r="K214">
        <f t="shared" si="13"/>
        <v>86.948999999999998</v>
      </c>
      <c r="L214">
        <f t="shared" si="14"/>
        <v>86.948999999999998</v>
      </c>
      <c r="M214">
        <f t="shared" si="15"/>
        <v>1140</v>
      </c>
    </row>
    <row r="215" spans="1:13" x14ac:dyDescent="0.25">
      <c r="A215" s="4">
        <v>1160</v>
      </c>
      <c r="B215" s="3">
        <v>46042</v>
      </c>
      <c r="C215" t="s">
        <v>114</v>
      </c>
      <c r="D215" t="s">
        <v>44</v>
      </c>
      <c r="E215" t="s">
        <v>452</v>
      </c>
      <c r="F215" t="s">
        <v>454</v>
      </c>
      <c r="G215" s="4">
        <v>94054900</v>
      </c>
      <c r="H215" s="4">
        <v>20</v>
      </c>
      <c r="I215" s="4">
        <v>190.68</v>
      </c>
      <c r="J215" s="4">
        <f t="shared" si="12"/>
        <v>3813.6000000000004</v>
      </c>
      <c r="K215">
        <f t="shared" si="13"/>
        <v>343.22400000000005</v>
      </c>
      <c r="L215">
        <f t="shared" si="14"/>
        <v>343.22400000000005</v>
      </c>
      <c r="M215">
        <f t="shared" si="15"/>
        <v>4500</v>
      </c>
    </row>
    <row r="216" spans="1:13" x14ac:dyDescent="0.25">
      <c r="A216" s="4">
        <v>1156</v>
      </c>
      <c r="B216" s="3">
        <v>46039</v>
      </c>
      <c r="C216" t="s">
        <v>115</v>
      </c>
      <c r="D216" t="s">
        <v>72</v>
      </c>
      <c r="E216" t="s">
        <v>452</v>
      </c>
      <c r="F216" t="s">
        <v>454</v>
      </c>
      <c r="G216" s="4">
        <v>94054900</v>
      </c>
      <c r="H216" s="4">
        <v>15</v>
      </c>
      <c r="I216" s="4">
        <v>177.96</v>
      </c>
      <c r="J216" s="4">
        <f t="shared" si="12"/>
        <v>2669.4</v>
      </c>
      <c r="K216">
        <f t="shared" si="13"/>
        <v>240.24600000000001</v>
      </c>
      <c r="L216">
        <f t="shared" si="14"/>
        <v>240.24600000000001</v>
      </c>
      <c r="M216">
        <f t="shared" si="15"/>
        <v>3149.9</v>
      </c>
    </row>
    <row r="217" spans="1:13" x14ac:dyDescent="0.25">
      <c r="A217" s="4">
        <v>1156</v>
      </c>
      <c r="B217" s="3">
        <v>46039</v>
      </c>
      <c r="C217" t="s">
        <v>115</v>
      </c>
      <c r="D217" t="s">
        <v>30</v>
      </c>
      <c r="E217" t="s">
        <v>452</v>
      </c>
      <c r="F217" t="s">
        <v>454</v>
      </c>
      <c r="G217" s="4">
        <v>94054900</v>
      </c>
      <c r="H217" s="4">
        <v>10</v>
      </c>
      <c r="I217" s="4">
        <v>262.70999999999998</v>
      </c>
      <c r="J217" s="4">
        <f t="shared" si="12"/>
        <v>2627.1</v>
      </c>
      <c r="K217">
        <f t="shared" si="13"/>
        <v>236.43899999999999</v>
      </c>
      <c r="L217">
        <f t="shared" si="14"/>
        <v>236.43899999999999</v>
      </c>
      <c r="M217">
        <f t="shared" si="15"/>
        <v>3100</v>
      </c>
    </row>
    <row r="218" spans="1:13" x14ac:dyDescent="0.25">
      <c r="A218" s="4">
        <v>1156</v>
      </c>
      <c r="B218" s="3">
        <v>46039</v>
      </c>
      <c r="C218" t="s">
        <v>115</v>
      </c>
      <c r="D218" t="s">
        <v>36</v>
      </c>
      <c r="E218" t="s">
        <v>452</v>
      </c>
      <c r="F218" t="s">
        <v>454</v>
      </c>
      <c r="G218" s="4">
        <v>94054900</v>
      </c>
      <c r="H218" s="4">
        <v>5</v>
      </c>
      <c r="I218" s="4">
        <v>313.55</v>
      </c>
      <c r="J218" s="4">
        <f t="shared" si="12"/>
        <v>1567.75</v>
      </c>
      <c r="K218">
        <f t="shared" si="13"/>
        <v>141.0975</v>
      </c>
      <c r="L218">
        <f t="shared" si="14"/>
        <v>141.0975</v>
      </c>
      <c r="M218">
        <f t="shared" si="15"/>
        <v>1849.9</v>
      </c>
    </row>
    <row r="219" spans="1:13" x14ac:dyDescent="0.25">
      <c r="A219" s="4">
        <v>1157</v>
      </c>
      <c r="B219" s="3">
        <v>46039</v>
      </c>
      <c r="C219" t="s">
        <v>49</v>
      </c>
      <c r="D219" t="s">
        <v>30</v>
      </c>
      <c r="E219" t="s">
        <v>452</v>
      </c>
      <c r="F219" t="s">
        <v>454</v>
      </c>
      <c r="G219" s="4">
        <v>94054900</v>
      </c>
      <c r="H219">
        <v>20</v>
      </c>
      <c r="I219">
        <v>296.61</v>
      </c>
      <c r="J219" s="4">
        <f t="shared" si="12"/>
        <v>5932.2000000000007</v>
      </c>
      <c r="K219">
        <f t="shared" si="13"/>
        <v>533.89800000000002</v>
      </c>
      <c r="L219">
        <f t="shared" si="14"/>
        <v>533.89800000000002</v>
      </c>
      <c r="M219">
        <f t="shared" si="15"/>
        <v>7000</v>
      </c>
    </row>
    <row r="220" spans="1:13" x14ac:dyDescent="0.25">
      <c r="A220" s="4">
        <v>1266</v>
      </c>
      <c r="B220" s="3">
        <v>46038</v>
      </c>
      <c r="C220" t="s">
        <v>146</v>
      </c>
      <c r="D220" t="s">
        <v>147</v>
      </c>
      <c r="E220" t="s">
        <v>452</v>
      </c>
      <c r="F220" t="s">
        <v>454</v>
      </c>
      <c r="G220" s="4">
        <v>94054900</v>
      </c>
      <c r="H220">
        <v>10</v>
      </c>
      <c r="I220">
        <v>130.51</v>
      </c>
      <c r="J220" s="4">
        <f t="shared" si="12"/>
        <v>1305.0999999999999</v>
      </c>
      <c r="K220">
        <f t="shared" si="13"/>
        <v>117.45899999999999</v>
      </c>
      <c r="L220">
        <f t="shared" si="14"/>
        <v>117.45899999999999</v>
      </c>
      <c r="M220">
        <f t="shared" si="15"/>
        <v>1540</v>
      </c>
    </row>
    <row r="221" spans="1:13" x14ac:dyDescent="0.25">
      <c r="A221" s="4">
        <v>1266</v>
      </c>
      <c r="B221" s="3">
        <v>46038</v>
      </c>
      <c r="C221" t="s">
        <v>146</v>
      </c>
      <c r="D221" t="s">
        <v>74</v>
      </c>
      <c r="E221" t="s">
        <v>452</v>
      </c>
      <c r="F221" t="s">
        <v>454</v>
      </c>
      <c r="G221" s="4">
        <v>94054900</v>
      </c>
      <c r="H221">
        <v>15</v>
      </c>
      <c r="I221">
        <v>108.47</v>
      </c>
      <c r="J221" s="4">
        <f t="shared" si="12"/>
        <v>1627.05</v>
      </c>
      <c r="K221">
        <f t="shared" si="13"/>
        <v>146.43449999999999</v>
      </c>
      <c r="L221">
        <f t="shared" si="14"/>
        <v>146.43449999999999</v>
      </c>
      <c r="M221">
        <f t="shared" si="15"/>
        <v>1919.9</v>
      </c>
    </row>
    <row r="222" spans="1:13" x14ac:dyDescent="0.25">
      <c r="A222" s="4">
        <v>1266</v>
      </c>
      <c r="B222" s="3">
        <v>46038</v>
      </c>
      <c r="C222" t="s">
        <v>146</v>
      </c>
      <c r="D222" t="s">
        <v>47</v>
      </c>
      <c r="E222" t="s">
        <v>452</v>
      </c>
      <c r="F222" t="s">
        <v>454</v>
      </c>
      <c r="G222" s="4">
        <v>94054900</v>
      </c>
      <c r="H222">
        <v>5</v>
      </c>
      <c r="I222">
        <v>183.05</v>
      </c>
      <c r="J222" s="4">
        <f t="shared" si="12"/>
        <v>915.25</v>
      </c>
      <c r="K222">
        <f t="shared" si="13"/>
        <v>82.372500000000002</v>
      </c>
      <c r="L222">
        <f t="shared" si="14"/>
        <v>82.372500000000002</v>
      </c>
      <c r="M222">
        <f t="shared" si="15"/>
        <v>1080</v>
      </c>
    </row>
    <row r="223" spans="1:13" x14ac:dyDescent="0.25">
      <c r="A223" s="4">
        <v>1266</v>
      </c>
      <c r="B223" s="3">
        <v>46038</v>
      </c>
      <c r="C223" t="s">
        <v>146</v>
      </c>
      <c r="D223" t="s">
        <v>14</v>
      </c>
      <c r="E223" t="s">
        <v>452</v>
      </c>
      <c r="F223" t="s">
        <v>454</v>
      </c>
      <c r="G223" s="4">
        <v>94054900</v>
      </c>
      <c r="H223">
        <v>20</v>
      </c>
      <c r="I223">
        <v>74.58</v>
      </c>
      <c r="J223" s="4">
        <f t="shared" si="12"/>
        <v>1491.6</v>
      </c>
      <c r="K223">
        <f t="shared" si="13"/>
        <v>134.244</v>
      </c>
      <c r="L223">
        <f t="shared" si="14"/>
        <v>134.244</v>
      </c>
      <c r="M223">
        <f t="shared" si="15"/>
        <v>1760.1</v>
      </c>
    </row>
    <row r="224" spans="1:13" x14ac:dyDescent="0.25">
      <c r="A224" s="4">
        <v>1266</v>
      </c>
      <c r="B224" s="3">
        <v>46038</v>
      </c>
      <c r="C224" t="s">
        <v>146</v>
      </c>
      <c r="D224" t="s">
        <v>72</v>
      </c>
      <c r="E224" t="s">
        <v>452</v>
      </c>
      <c r="F224" t="s">
        <v>454</v>
      </c>
      <c r="G224" s="4">
        <v>94054900</v>
      </c>
      <c r="H224">
        <v>5</v>
      </c>
      <c r="I224">
        <v>194.92</v>
      </c>
      <c r="J224" s="4">
        <f t="shared" si="12"/>
        <v>974.59999999999991</v>
      </c>
      <c r="K224">
        <f t="shared" si="13"/>
        <v>87.713999999999984</v>
      </c>
      <c r="L224">
        <f t="shared" si="14"/>
        <v>87.713999999999984</v>
      </c>
      <c r="M224">
        <f t="shared" si="15"/>
        <v>1150</v>
      </c>
    </row>
    <row r="225" spans="1:13" x14ac:dyDescent="0.25">
      <c r="A225" s="4">
        <v>1266</v>
      </c>
      <c r="B225" s="3">
        <v>46038</v>
      </c>
      <c r="C225" t="s">
        <v>146</v>
      </c>
      <c r="D225" t="s">
        <v>30</v>
      </c>
      <c r="E225" t="s">
        <v>452</v>
      </c>
      <c r="F225" t="s">
        <v>454</v>
      </c>
      <c r="G225" s="4">
        <v>94054900</v>
      </c>
      <c r="H225">
        <v>5</v>
      </c>
      <c r="I225">
        <v>279.66000000000003</v>
      </c>
      <c r="J225" s="4">
        <f t="shared" si="12"/>
        <v>1398.3000000000002</v>
      </c>
      <c r="K225">
        <f t="shared" si="13"/>
        <v>125.84700000000001</v>
      </c>
      <c r="L225">
        <f t="shared" si="14"/>
        <v>125.84700000000001</v>
      </c>
      <c r="M225">
        <f t="shared" si="15"/>
        <v>1650</v>
      </c>
    </row>
    <row r="226" spans="1:13" x14ac:dyDescent="0.25">
      <c r="A226" s="4">
        <v>1151</v>
      </c>
      <c r="B226" s="3">
        <v>46035</v>
      </c>
      <c r="C226" t="s">
        <v>135</v>
      </c>
      <c r="D226" t="s">
        <v>47</v>
      </c>
      <c r="E226" t="s">
        <v>452</v>
      </c>
      <c r="F226" t="s">
        <v>454</v>
      </c>
      <c r="G226" s="4">
        <v>94054900</v>
      </c>
      <c r="H226">
        <v>24</v>
      </c>
      <c r="I226">
        <v>160.16</v>
      </c>
      <c r="J226" s="4">
        <f t="shared" si="12"/>
        <v>3843.84</v>
      </c>
      <c r="K226">
        <f t="shared" si="13"/>
        <v>345.94560000000001</v>
      </c>
      <c r="L226">
        <f t="shared" si="14"/>
        <v>345.94560000000001</v>
      </c>
      <c r="M226">
        <f t="shared" si="15"/>
        <v>4535.7</v>
      </c>
    </row>
    <row r="227" spans="1:13" x14ac:dyDescent="0.25">
      <c r="A227" s="4">
        <v>1265</v>
      </c>
      <c r="B227" s="3">
        <v>46035</v>
      </c>
      <c r="C227" t="s">
        <v>25</v>
      </c>
      <c r="D227" t="s">
        <v>26</v>
      </c>
      <c r="E227" t="s">
        <v>452</v>
      </c>
      <c r="F227" t="s">
        <v>454</v>
      </c>
      <c r="G227" s="4">
        <v>94054900</v>
      </c>
      <c r="H227" s="4">
        <v>30</v>
      </c>
      <c r="I227" s="4">
        <v>50.85</v>
      </c>
      <c r="J227" s="4">
        <f t="shared" si="12"/>
        <v>1525.5</v>
      </c>
      <c r="K227">
        <f t="shared" si="13"/>
        <v>137.29499999999999</v>
      </c>
      <c r="L227">
        <f t="shared" si="14"/>
        <v>137.29499999999999</v>
      </c>
      <c r="M227">
        <f t="shared" si="15"/>
        <v>1800.1</v>
      </c>
    </row>
    <row r="228" spans="1:13" x14ac:dyDescent="0.25">
      <c r="A228" s="4">
        <v>1265</v>
      </c>
      <c r="B228" s="3">
        <v>46035</v>
      </c>
      <c r="C228" t="s">
        <v>25</v>
      </c>
      <c r="D228" t="s">
        <v>14</v>
      </c>
      <c r="E228" t="s">
        <v>452</v>
      </c>
      <c r="F228" t="s">
        <v>454</v>
      </c>
      <c r="G228" s="4">
        <v>94054900</v>
      </c>
      <c r="H228" s="4">
        <v>10</v>
      </c>
      <c r="I228" s="4">
        <v>64.41</v>
      </c>
      <c r="J228" s="4">
        <f t="shared" si="12"/>
        <v>644.09999999999991</v>
      </c>
      <c r="K228">
        <f t="shared" si="13"/>
        <v>57.968999999999987</v>
      </c>
      <c r="L228">
        <f t="shared" si="14"/>
        <v>57.968999999999987</v>
      </c>
      <c r="M228">
        <f t="shared" si="15"/>
        <v>760</v>
      </c>
    </row>
    <row r="229" spans="1:13" x14ac:dyDescent="0.25">
      <c r="A229" s="4">
        <v>1265</v>
      </c>
      <c r="B229" s="3">
        <v>46035</v>
      </c>
      <c r="C229" t="s">
        <v>25</v>
      </c>
      <c r="D229" t="s">
        <v>15</v>
      </c>
      <c r="E229" t="s">
        <v>452</v>
      </c>
      <c r="F229" t="s">
        <v>454</v>
      </c>
      <c r="G229" s="4">
        <v>94054900</v>
      </c>
      <c r="H229" s="4">
        <v>4</v>
      </c>
      <c r="I229" s="4">
        <v>110.17</v>
      </c>
      <c r="J229" s="4">
        <f t="shared" si="12"/>
        <v>440.68</v>
      </c>
      <c r="K229">
        <f t="shared" si="13"/>
        <v>39.661200000000001</v>
      </c>
      <c r="L229">
        <f t="shared" si="14"/>
        <v>39.661200000000001</v>
      </c>
      <c r="M229">
        <f t="shared" si="15"/>
        <v>520</v>
      </c>
    </row>
    <row r="230" spans="1:13" x14ac:dyDescent="0.25">
      <c r="A230" s="4">
        <v>898</v>
      </c>
      <c r="B230" s="3">
        <v>46035</v>
      </c>
      <c r="C230" t="s">
        <v>49</v>
      </c>
      <c r="D230" t="s">
        <v>47</v>
      </c>
      <c r="E230" t="s">
        <v>452</v>
      </c>
      <c r="F230" t="s">
        <v>454</v>
      </c>
      <c r="G230" s="4">
        <v>94054900</v>
      </c>
      <c r="H230">
        <v>10</v>
      </c>
      <c r="I230">
        <v>182.2</v>
      </c>
      <c r="J230" s="4">
        <f t="shared" si="12"/>
        <v>1822</v>
      </c>
      <c r="K230">
        <f t="shared" si="13"/>
        <v>163.98</v>
      </c>
      <c r="L230">
        <f t="shared" si="14"/>
        <v>163.98</v>
      </c>
      <c r="M230">
        <f t="shared" si="15"/>
        <v>2150</v>
      </c>
    </row>
    <row r="231" spans="1:13" x14ac:dyDescent="0.25">
      <c r="A231" s="4">
        <v>898</v>
      </c>
      <c r="B231" s="3">
        <v>46035</v>
      </c>
      <c r="C231" t="s">
        <v>49</v>
      </c>
      <c r="D231" t="s">
        <v>64</v>
      </c>
      <c r="E231" t="s">
        <v>452</v>
      </c>
      <c r="F231" t="s">
        <v>454</v>
      </c>
      <c r="G231" s="4">
        <v>94054900</v>
      </c>
      <c r="H231">
        <v>10</v>
      </c>
      <c r="I231">
        <v>152.54</v>
      </c>
      <c r="J231" s="4">
        <f t="shared" si="12"/>
        <v>1525.3999999999999</v>
      </c>
      <c r="K231">
        <f t="shared" si="13"/>
        <v>137.28599999999997</v>
      </c>
      <c r="L231">
        <f t="shared" si="14"/>
        <v>137.28599999999997</v>
      </c>
      <c r="M231">
        <f t="shared" si="15"/>
        <v>1800</v>
      </c>
    </row>
    <row r="232" spans="1:13" x14ac:dyDescent="0.25">
      <c r="A232" s="4">
        <v>898</v>
      </c>
      <c r="B232" s="3">
        <v>46035</v>
      </c>
      <c r="C232" t="s">
        <v>49</v>
      </c>
      <c r="D232" t="s">
        <v>62</v>
      </c>
      <c r="E232" t="s">
        <v>452</v>
      </c>
      <c r="F232" t="s">
        <v>454</v>
      </c>
      <c r="G232" s="4">
        <v>94054900</v>
      </c>
      <c r="H232">
        <v>5</v>
      </c>
      <c r="I232">
        <v>271.19</v>
      </c>
      <c r="J232" s="4">
        <f t="shared" si="12"/>
        <v>1355.95</v>
      </c>
      <c r="K232">
        <f t="shared" si="13"/>
        <v>122.0355</v>
      </c>
      <c r="L232">
        <f t="shared" si="14"/>
        <v>122.0355</v>
      </c>
      <c r="M232">
        <f t="shared" si="15"/>
        <v>1600</v>
      </c>
    </row>
    <row r="233" spans="1:13" x14ac:dyDescent="0.25">
      <c r="A233" s="4">
        <v>898</v>
      </c>
      <c r="B233" s="3">
        <v>46035</v>
      </c>
      <c r="C233" t="s">
        <v>49</v>
      </c>
      <c r="D233" t="s">
        <v>61</v>
      </c>
      <c r="E233" t="s">
        <v>452</v>
      </c>
      <c r="F233" t="s">
        <v>454</v>
      </c>
      <c r="G233" s="4">
        <v>94054900</v>
      </c>
      <c r="H233">
        <v>5</v>
      </c>
      <c r="I233">
        <v>224.57</v>
      </c>
      <c r="J233" s="4">
        <f t="shared" si="12"/>
        <v>1122.8499999999999</v>
      </c>
      <c r="K233">
        <f t="shared" si="13"/>
        <v>101.05649999999999</v>
      </c>
      <c r="L233">
        <f t="shared" si="14"/>
        <v>101.05649999999999</v>
      </c>
      <c r="M233">
        <f t="shared" si="15"/>
        <v>1325</v>
      </c>
    </row>
    <row r="234" spans="1:13" x14ac:dyDescent="0.25">
      <c r="A234" s="4">
        <v>898</v>
      </c>
      <c r="B234" s="3">
        <v>46035</v>
      </c>
      <c r="C234" t="s">
        <v>49</v>
      </c>
      <c r="D234" t="s">
        <v>165</v>
      </c>
      <c r="E234" t="s">
        <v>452</v>
      </c>
      <c r="F234" t="s">
        <v>454</v>
      </c>
      <c r="G234" s="4">
        <v>94054900</v>
      </c>
      <c r="H234">
        <v>40</v>
      </c>
      <c r="I234">
        <v>132.19999999999999</v>
      </c>
      <c r="J234" s="4">
        <f t="shared" si="12"/>
        <v>5288</v>
      </c>
      <c r="K234">
        <f t="shared" si="13"/>
        <v>475.91999999999996</v>
      </c>
      <c r="L234">
        <f t="shared" si="14"/>
        <v>475.91999999999996</v>
      </c>
      <c r="M234">
        <f t="shared" si="15"/>
        <v>6239.8</v>
      </c>
    </row>
    <row r="235" spans="1:13" x14ac:dyDescent="0.25">
      <c r="A235" s="4">
        <v>898</v>
      </c>
      <c r="B235" s="3">
        <v>46035</v>
      </c>
      <c r="C235" t="s">
        <v>49</v>
      </c>
      <c r="D235" t="s">
        <v>158</v>
      </c>
      <c r="E235" t="s">
        <v>452</v>
      </c>
      <c r="F235" t="s">
        <v>454</v>
      </c>
      <c r="G235" s="4">
        <v>94054900</v>
      </c>
      <c r="H235">
        <v>30</v>
      </c>
      <c r="I235">
        <v>194.92</v>
      </c>
      <c r="J235" s="4">
        <f t="shared" si="12"/>
        <v>5847.5999999999995</v>
      </c>
      <c r="K235">
        <f t="shared" si="13"/>
        <v>526.28399999999988</v>
      </c>
      <c r="L235">
        <f t="shared" si="14"/>
        <v>526.28399999999988</v>
      </c>
      <c r="M235">
        <f t="shared" si="15"/>
        <v>6900.2</v>
      </c>
    </row>
    <row r="236" spans="1:13" x14ac:dyDescent="0.25">
      <c r="A236" s="4">
        <v>898</v>
      </c>
      <c r="B236" s="3">
        <v>46035</v>
      </c>
      <c r="C236" t="s">
        <v>49</v>
      </c>
      <c r="D236" t="s">
        <v>166</v>
      </c>
      <c r="E236" t="s">
        <v>452</v>
      </c>
      <c r="F236" t="s">
        <v>454</v>
      </c>
      <c r="G236" s="4">
        <v>94054900</v>
      </c>
      <c r="H236">
        <v>10</v>
      </c>
      <c r="I236">
        <v>426.27</v>
      </c>
      <c r="J236" s="4">
        <f t="shared" si="12"/>
        <v>4262.7</v>
      </c>
      <c r="K236">
        <f t="shared" si="13"/>
        <v>383.64299999999997</v>
      </c>
      <c r="L236">
        <f t="shared" si="14"/>
        <v>383.64299999999997</v>
      </c>
      <c r="M236">
        <f t="shared" si="15"/>
        <v>5030</v>
      </c>
    </row>
    <row r="237" spans="1:13" x14ac:dyDescent="0.25">
      <c r="A237" s="4">
        <v>900</v>
      </c>
      <c r="B237" s="3">
        <v>46035</v>
      </c>
      <c r="C237" t="s">
        <v>115</v>
      </c>
      <c r="D237" t="s">
        <v>117</v>
      </c>
      <c r="E237" t="s">
        <v>452</v>
      </c>
      <c r="F237" t="s">
        <v>454</v>
      </c>
      <c r="G237" s="4">
        <v>94054900</v>
      </c>
      <c r="H237">
        <v>30</v>
      </c>
      <c r="I237">
        <v>70.33</v>
      </c>
      <c r="J237" s="4">
        <f t="shared" si="12"/>
        <v>2109.9</v>
      </c>
      <c r="K237">
        <f t="shared" si="13"/>
        <v>189.89099999999999</v>
      </c>
      <c r="L237">
        <f t="shared" si="14"/>
        <v>189.89099999999999</v>
      </c>
      <c r="M237">
        <f t="shared" si="15"/>
        <v>2489.6999999999998</v>
      </c>
    </row>
    <row r="238" spans="1:13" x14ac:dyDescent="0.25">
      <c r="A238" s="4">
        <v>900</v>
      </c>
      <c r="B238" s="3">
        <v>46035</v>
      </c>
      <c r="C238" t="s">
        <v>115</v>
      </c>
      <c r="D238" t="s">
        <v>30</v>
      </c>
      <c r="E238" t="s">
        <v>452</v>
      </c>
      <c r="F238" t="s">
        <v>454</v>
      </c>
      <c r="G238" s="4">
        <v>94054900</v>
      </c>
      <c r="H238">
        <v>6</v>
      </c>
      <c r="I238">
        <v>262.70999999999998</v>
      </c>
      <c r="J238" s="4">
        <f t="shared" si="12"/>
        <v>1576.2599999999998</v>
      </c>
      <c r="K238">
        <f t="shared" si="13"/>
        <v>141.86339999999998</v>
      </c>
      <c r="L238">
        <f t="shared" si="14"/>
        <v>141.86339999999998</v>
      </c>
      <c r="M238">
        <f t="shared" si="15"/>
        <v>1860</v>
      </c>
    </row>
    <row r="239" spans="1:13" x14ac:dyDescent="0.25">
      <c r="A239" s="4">
        <v>900</v>
      </c>
      <c r="B239" s="3">
        <v>46035</v>
      </c>
      <c r="C239" t="s">
        <v>115</v>
      </c>
      <c r="D239" t="s">
        <v>124</v>
      </c>
      <c r="E239" t="s">
        <v>452</v>
      </c>
      <c r="F239" t="s">
        <v>454</v>
      </c>
      <c r="G239" s="4">
        <v>94054900</v>
      </c>
      <c r="H239">
        <v>10</v>
      </c>
      <c r="I239">
        <v>167.79</v>
      </c>
      <c r="J239" s="4">
        <f t="shared" si="12"/>
        <v>1677.8999999999999</v>
      </c>
      <c r="K239">
        <f t="shared" si="13"/>
        <v>151.011</v>
      </c>
      <c r="L239">
        <f t="shared" si="14"/>
        <v>151.011</v>
      </c>
      <c r="M239">
        <f t="shared" si="15"/>
        <v>1979.9</v>
      </c>
    </row>
    <row r="240" spans="1:13" x14ac:dyDescent="0.25">
      <c r="A240" s="4">
        <v>900</v>
      </c>
      <c r="B240" s="3">
        <v>46035</v>
      </c>
      <c r="C240" t="s">
        <v>115</v>
      </c>
      <c r="D240" t="s">
        <v>11</v>
      </c>
      <c r="E240" t="s">
        <v>452</v>
      </c>
      <c r="F240" t="s">
        <v>454</v>
      </c>
      <c r="G240" s="4">
        <v>94054900</v>
      </c>
      <c r="H240">
        <v>50</v>
      </c>
      <c r="I240">
        <v>43.22</v>
      </c>
      <c r="J240" s="4">
        <f t="shared" si="12"/>
        <v>2161</v>
      </c>
      <c r="K240">
        <f t="shared" si="13"/>
        <v>194.48999999999998</v>
      </c>
      <c r="L240">
        <f t="shared" si="14"/>
        <v>194.48999999999998</v>
      </c>
      <c r="M240">
        <f t="shared" si="15"/>
        <v>2550</v>
      </c>
    </row>
    <row r="241" spans="1:13" x14ac:dyDescent="0.25">
      <c r="A241" s="4">
        <v>900</v>
      </c>
      <c r="B241" s="3">
        <v>46035</v>
      </c>
      <c r="C241" t="s">
        <v>115</v>
      </c>
      <c r="D241" t="s">
        <v>121</v>
      </c>
      <c r="E241" t="s">
        <v>452</v>
      </c>
      <c r="F241" t="s">
        <v>454</v>
      </c>
      <c r="G241" s="4">
        <v>94054900</v>
      </c>
      <c r="H241">
        <v>50</v>
      </c>
      <c r="I241">
        <v>43.22</v>
      </c>
      <c r="J241" s="4">
        <f t="shared" si="12"/>
        <v>2161</v>
      </c>
      <c r="K241">
        <f t="shared" si="13"/>
        <v>194.48999999999998</v>
      </c>
      <c r="L241">
        <f t="shared" si="14"/>
        <v>194.48999999999998</v>
      </c>
      <c r="M241">
        <f t="shared" si="15"/>
        <v>2550</v>
      </c>
    </row>
    <row r="242" spans="1:13" x14ac:dyDescent="0.25">
      <c r="A242" s="4">
        <v>900</v>
      </c>
      <c r="B242" s="3">
        <v>46035</v>
      </c>
      <c r="C242" t="s">
        <v>115</v>
      </c>
      <c r="D242" t="s">
        <v>122</v>
      </c>
      <c r="E242" t="s">
        <v>452</v>
      </c>
      <c r="F242" t="s">
        <v>454</v>
      </c>
      <c r="G242" s="4">
        <v>94054900</v>
      </c>
      <c r="H242">
        <v>10</v>
      </c>
      <c r="I242">
        <v>122.88</v>
      </c>
      <c r="J242" s="4">
        <f t="shared" si="12"/>
        <v>1228.8</v>
      </c>
      <c r="K242">
        <f t="shared" si="13"/>
        <v>110.592</v>
      </c>
      <c r="L242">
        <f t="shared" si="14"/>
        <v>110.592</v>
      </c>
      <c r="M242">
        <f t="shared" si="15"/>
        <v>1450</v>
      </c>
    </row>
    <row r="243" spans="1:13" x14ac:dyDescent="0.25">
      <c r="A243" s="4">
        <v>1264</v>
      </c>
      <c r="B243" s="3">
        <v>46034</v>
      </c>
      <c r="C243" t="s">
        <v>51</v>
      </c>
      <c r="D243" t="s">
        <v>35</v>
      </c>
      <c r="E243" t="s">
        <v>452</v>
      </c>
      <c r="F243" t="s">
        <v>454</v>
      </c>
      <c r="G243" s="4">
        <v>94054900</v>
      </c>
      <c r="H243">
        <v>400</v>
      </c>
      <c r="I243">
        <v>20.34</v>
      </c>
      <c r="J243" s="4">
        <f t="shared" si="12"/>
        <v>8136</v>
      </c>
      <c r="K243">
        <f t="shared" si="13"/>
        <v>732.24</v>
      </c>
      <c r="L243">
        <f t="shared" si="14"/>
        <v>732.24</v>
      </c>
      <c r="M243">
        <f t="shared" si="15"/>
        <v>9600.5</v>
      </c>
    </row>
    <row r="244" spans="1:13" x14ac:dyDescent="0.25">
      <c r="A244" s="4">
        <v>1264</v>
      </c>
      <c r="B244" s="3">
        <v>46034</v>
      </c>
      <c r="C244" t="s">
        <v>51</v>
      </c>
      <c r="D244" t="s">
        <v>13</v>
      </c>
      <c r="E244" t="s">
        <v>452</v>
      </c>
      <c r="F244" t="s">
        <v>454</v>
      </c>
      <c r="G244" s="4">
        <v>94054900</v>
      </c>
      <c r="H244">
        <v>200</v>
      </c>
      <c r="I244">
        <v>68.64</v>
      </c>
      <c r="J244" s="4">
        <f t="shared" si="12"/>
        <v>13728</v>
      </c>
      <c r="K244">
        <f t="shared" si="13"/>
        <v>1235.52</v>
      </c>
      <c r="L244">
        <f t="shared" si="14"/>
        <v>1235.52</v>
      </c>
      <c r="M244">
        <f t="shared" si="15"/>
        <v>16199</v>
      </c>
    </row>
    <row r="245" spans="1:13" x14ac:dyDescent="0.25">
      <c r="A245" s="4">
        <v>1264</v>
      </c>
      <c r="B245" s="3">
        <v>46034</v>
      </c>
      <c r="C245" t="s">
        <v>51</v>
      </c>
      <c r="D245" t="s">
        <v>59</v>
      </c>
      <c r="E245" t="s">
        <v>452</v>
      </c>
      <c r="F245" t="s">
        <v>454</v>
      </c>
      <c r="G245" s="4">
        <v>94054900</v>
      </c>
      <c r="H245">
        <v>20</v>
      </c>
      <c r="I245">
        <v>194.92</v>
      </c>
      <c r="J245" s="4">
        <f t="shared" si="12"/>
        <v>3898.3999999999996</v>
      </c>
      <c r="K245">
        <f t="shared" si="13"/>
        <v>350.85599999999994</v>
      </c>
      <c r="L245">
        <f t="shared" si="14"/>
        <v>350.85599999999994</v>
      </c>
      <c r="M245">
        <f t="shared" si="15"/>
        <v>4600.1000000000004</v>
      </c>
    </row>
    <row r="246" spans="1:13" x14ac:dyDescent="0.25">
      <c r="A246" s="4">
        <v>1264</v>
      </c>
      <c r="B246" s="3">
        <v>46034</v>
      </c>
      <c r="C246" t="s">
        <v>51</v>
      </c>
      <c r="D246" t="s">
        <v>21</v>
      </c>
      <c r="E246" t="s">
        <v>452</v>
      </c>
      <c r="F246" t="s">
        <v>454</v>
      </c>
      <c r="G246" s="4">
        <v>94054900</v>
      </c>
      <c r="H246">
        <v>10</v>
      </c>
      <c r="I246">
        <v>110.17</v>
      </c>
      <c r="J246" s="4">
        <f t="shared" si="12"/>
        <v>1101.7</v>
      </c>
      <c r="K246">
        <f t="shared" si="13"/>
        <v>99.153000000000006</v>
      </c>
      <c r="L246">
        <f t="shared" si="14"/>
        <v>99.153000000000006</v>
      </c>
      <c r="M246">
        <f t="shared" si="15"/>
        <v>1300</v>
      </c>
    </row>
    <row r="247" spans="1:13" x14ac:dyDescent="0.25">
      <c r="A247" s="4">
        <v>1264</v>
      </c>
      <c r="B247" s="3">
        <v>46034</v>
      </c>
      <c r="C247" t="s">
        <v>51</v>
      </c>
      <c r="D247" t="s">
        <v>24</v>
      </c>
      <c r="E247" t="s">
        <v>452</v>
      </c>
      <c r="F247" t="s">
        <v>454</v>
      </c>
      <c r="G247" s="4">
        <v>94054900</v>
      </c>
      <c r="H247">
        <v>20</v>
      </c>
      <c r="I247">
        <v>211.86</v>
      </c>
      <c r="J247" s="4">
        <f t="shared" si="12"/>
        <v>4237.2000000000007</v>
      </c>
      <c r="K247">
        <f t="shared" si="13"/>
        <v>381.34800000000007</v>
      </c>
      <c r="L247">
        <f t="shared" si="14"/>
        <v>381.34800000000007</v>
      </c>
      <c r="M247">
        <f t="shared" si="15"/>
        <v>4999.8999999999996</v>
      </c>
    </row>
    <row r="248" spans="1:13" x14ac:dyDescent="0.25">
      <c r="A248" s="4">
        <v>1264</v>
      </c>
      <c r="B248" s="3">
        <v>46034</v>
      </c>
      <c r="C248" t="s">
        <v>51</v>
      </c>
      <c r="D248" t="s">
        <v>72</v>
      </c>
      <c r="E248" t="s">
        <v>452</v>
      </c>
      <c r="F248" t="s">
        <v>454</v>
      </c>
      <c r="G248" s="4">
        <v>94054900</v>
      </c>
      <c r="H248">
        <v>15</v>
      </c>
      <c r="I248">
        <v>177.97</v>
      </c>
      <c r="J248" s="4">
        <f t="shared" si="12"/>
        <v>2669.55</v>
      </c>
      <c r="K248">
        <f t="shared" si="13"/>
        <v>240.2595</v>
      </c>
      <c r="L248">
        <f t="shared" si="14"/>
        <v>240.2595</v>
      </c>
      <c r="M248">
        <f t="shared" si="15"/>
        <v>3150.1</v>
      </c>
    </row>
    <row r="249" spans="1:13" x14ac:dyDescent="0.25">
      <c r="A249" s="4">
        <v>1264</v>
      </c>
      <c r="B249" s="3">
        <v>46034</v>
      </c>
      <c r="C249" t="s">
        <v>51</v>
      </c>
      <c r="D249" t="s">
        <v>30</v>
      </c>
      <c r="E249" t="s">
        <v>452</v>
      </c>
      <c r="F249" t="s">
        <v>454</v>
      </c>
      <c r="G249" s="4">
        <v>94054900</v>
      </c>
      <c r="H249">
        <v>20</v>
      </c>
      <c r="I249">
        <v>275.42</v>
      </c>
      <c r="J249" s="4">
        <f t="shared" si="12"/>
        <v>5508.4000000000005</v>
      </c>
      <c r="K249">
        <f t="shared" si="13"/>
        <v>495.75600000000003</v>
      </c>
      <c r="L249">
        <f t="shared" si="14"/>
        <v>495.75600000000003</v>
      </c>
      <c r="M249">
        <f t="shared" si="15"/>
        <v>6499.9</v>
      </c>
    </row>
    <row r="250" spans="1:13" x14ac:dyDescent="0.25">
      <c r="A250" s="4">
        <v>1264</v>
      </c>
      <c r="B250" s="3">
        <v>46034</v>
      </c>
      <c r="C250" t="s">
        <v>51</v>
      </c>
      <c r="D250" t="s">
        <v>32</v>
      </c>
      <c r="E250" t="s">
        <v>452</v>
      </c>
      <c r="F250" t="s">
        <v>454</v>
      </c>
      <c r="G250" s="4">
        <v>94054900</v>
      </c>
      <c r="H250">
        <v>5</v>
      </c>
      <c r="I250">
        <v>483.05</v>
      </c>
      <c r="J250" s="4">
        <f t="shared" si="12"/>
        <v>2415.25</v>
      </c>
      <c r="K250">
        <f t="shared" si="13"/>
        <v>217.3725</v>
      </c>
      <c r="L250">
        <f t="shared" si="14"/>
        <v>217.3725</v>
      </c>
      <c r="M250">
        <f t="shared" si="15"/>
        <v>2850</v>
      </c>
    </row>
    <row r="251" spans="1:13" x14ac:dyDescent="0.25">
      <c r="A251" s="4">
        <v>1264</v>
      </c>
      <c r="B251" s="3">
        <v>46034</v>
      </c>
      <c r="C251" t="s">
        <v>51</v>
      </c>
      <c r="D251" t="s">
        <v>60</v>
      </c>
      <c r="E251" t="s">
        <v>452</v>
      </c>
      <c r="F251" t="s">
        <v>454</v>
      </c>
      <c r="G251" s="4">
        <v>94054900</v>
      </c>
      <c r="H251">
        <v>5</v>
      </c>
      <c r="I251">
        <v>403.39</v>
      </c>
      <c r="J251" s="4">
        <f t="shared" si="12"/>
        <v>2016.9499999999998</v>
      </c>
      <c r="K251">
        <f t="shared" si="13"/>
        <v>181.52549999999997</v>
      </c>
      <c r="L251">
        <f t="shared" si="14"/>
        <v>181.52549999999997</v>
      </c>
      <c r="M251">
        <f t="shared" si="15"/>
        <v>2380</v>
      </c>
    </row>
    <row r="252" spans="1:13" x14ac:dyDescent="0.25">
      <c r="A252" s="4">
        <v>1259</v>
      </c>
      <c r="B252" s="3">
        <v>46033</v>
      </c>
      <c r="C252" t="s">
        <v>114</v>
      </c>
      <c r="D252" t="s">
        <v>21</v>
      </c>
      <c r="E252" t="s">
        <v>452</v>
      </c>
      <c r="F252" t="s">
        <v>454</v>
      </c>
      <c r="G252" s="4">
        <v>94054900</v>
      </c>
      <c r="H252" s="4">
        <v>5</v>
      </c>
      <c r="I252" s="4">
        <v>117.8</v>
      </c>
      <c r="J252" s="4">
        <f t="shared" si="12"/>
        <v>589</v>
      </c>
      <c r="K252">
        <f t="shared" si="13"/>
        <v>53.01</v>
      </c>
      <c r="L252">
        <f t="shared" si="14"/>
        <v>53.01</v>
      </c>
      <c r="M252">
        <f t="shared" si="15"/>
        <v>695</v>
      </c>
    </row>
    <row r="253" spans="1:13" x14ac:dyDescent="0.25">
      <c r="A253" s="4">
        <v>1259</v>
      </c>
      <c r="B253" s="3">
        <v>46033</v>
      </c>
      <c r="C253" t="s">
        <v>114</v>
      </c>
      <c r="D253" t="s">
        <v>16</v>
      </c>
      <c r="E253" t="s">
        <v>452</v>
      </c>
      <c r="F253" t="s">
        <v>454</v>
      </c>
      <c r="G253" s="4">
        <v>94054900</v>
      </c>
      <c r="H253" s="4">
        <v>20</v>
      </c>
      <c r="I253" s="4">
        <v>190.68</v>
      </c>
      <c r="J253" s="4">
        <f t="shared" si="12"/>
        <v>3813.6000000000004</v>
      </c>
      <c r="K253">
        <f t="shared" si="13"/>
        <v>343.22400000000005</v>
      </c>
      <c r="L253">
        <f t="shared" si="14"/>
        <v>343.22400000000005</v>
      </c>
      <c r="M253">
        <f t="shared" si="15"/>
        <v>4500</v>
      </c>
    </row>
    <row r="254" spans="1:13" x14ac:dyDescent="0.25">
      <c r="A254" s="4">
        <v>1263</v>
      </c>
      <c r="B254" s="3">
        <v>46032</v>
      </c>
      <c r="C254" t="s">
        <v>22</v>
      </c>
      <c r="D254" t="s">
        <v>139</v>
      </c>
      <c r="E254" t="s">
        <v>452</v>
      </c>
      <c r="F254" t="s">
        <v>454</v>
      </c>
      <c r="G254" s="4">
        <v>94054900</v>
      </c>
      <c r="H254" s="4">
        <v>4</v>
      </c>
      <c r="I254" s="4">
        <v>644.07000000000005</v>
      </c>
      <c r="J254" s="4">
        <f t="shared" si="12"/>
        <v>2576.2800000000002</v>
      </c>
      <c r="K254">
        <f t="shared" si="13"/>
        <v>231.86520000000002</v>
      </c>
      <c r="L254">
        <f t="shared" si="14"/>
        <v>231.86520000000002</v>
      </c>
      <c r="M254">
        <f t="shared" si="15"/>
        <v>3040</v>
      </c>
    </row>
    <row r="255" spans="1:13" x14ac:dyDescent="0.25">
      <c r="A255" s="4">
        <v>894</v>
      </c>
      <c r="B255" s="3">
        <v>46031</v>
      </c>
      <c r="C255" t="s">
        <v>129</v>
      </c>
      <c r="D255" t="s">
        <v>13</v>
      </c>
      <c r="E255" t="s">
        <v>452</v>
      </c>
      <c r="F255" t="s">
        <v>454</v>
      </c>
      <c r="G255" s="4">
        <v>94054900</v>
      </c>
      <c r="H255" s="4">
        <v>40</v>
      </c>
      <c r="I255" s="4">
        <v>71.180000000000007</v>
      </c>
      <c r="J255" s="4">
        <f t="shared" si="12"/>
        <v>2847.2000000000003</v>
      </c>
      <c r="K255">
        <f t="shared" si="13"/>
        <v>256.24799999999999</v>
      </c>
      <c r="L255">
        <f t="shared" si="14"/>
        <v>256.24799999999999</v>
      </c>
      <c r="M255">
        <f t="shared" si="15"/>
        <v>3359.7</v>
      </c>
    </row>
    <row r="256" spans="1:13" x14ac:dyDescent="0.25">
      <c r="A256" s="4">
        <v>895</v>
      </c>
      <c r="B256" s="3">
        <v>46031</v>
      </c>
      <c r="C256" t="s">
        <v>137</v>
      </c>
      <c r="D256" t="s">
        <v>35</v>
      </c>
      <c r="E256" t="s">
        <v>452</v>
      </c>
      <c r="F256" t="s">
        <v>454</v>
      </c>
      <c r="G256" s="4">
        <v>94054900</v>
      </c>
      <c r="H256" s="4">
        <v>400</v>
      </c>
      <c r="I256" s="4">
        <v>19.920000000000002</v>
      </c>
      <c r="J256" s="4">
        <f t="shared" si="12"/>
        <v>7968.0000000000009</v>
      </c>
      <c r="K256">
        <f t="shared" si="13"/>
        <v>717.12</v>
      </c>
      <c r="L256">
        <f t="shared" si="14"/>
        <v>717.12</v>
      </c>
      <c r="M256">
        <f t="shared" si="15"/>
        <v>9402.2000000000007</v>
      </c>
    </row>
    <row r="257" spans="1:13" x14ac:dyDescent="0.25">
      <c r="A257" s="4">
        <v>895</v>
      </c>
      <c r="B257" s="3">
        <v>46031</v>
      </c>
      <c r="C257" t="s">
        <v>137</v>
      </c>
      <c r="D257" t="s">
        <v>13</v>
      </c>
      <c r="E257" t="s">
        <v>452</v>
      </c>
      <c r="F257" t="s">
        <v>454</v>
      </c>
      <c r="G257" s="4">
        <v>94054900</v>
      </c>
      <c r="H257" s="4">
        <v>240</v>
      </c>
      <c r="I257" s="4">
        <v>68.64</v>
      </c>
      <c r="J257" s="4">
        <f t="shared" si="12"/>
        <v>16473.599999999999</v>
      </c>
      <c r="K257">
        <f t="shared" si="13"/>
        <v>1482.6239999999998</v>
      </c>
      <c r="L257">
        <f t="shared" si="14"/>
        <v>1482.6239999999998</v>
      </c>
      <c r="M257">
        <f t="shared" si="15"/>
        <v>19438.8</v>
      </c>
    </row>
    <row r="258" spans="1:13" x14ac:dyDescent="0.25">
      <c r="A258" s="4">
        <v>895</v>
      </c>
      <c r="B258" s="3">
        <v>46031</v>
      </c>
      <c r="C258" t="s">
        <v>137</v>
      </c>
      <c r="D258" t="s">
        <v>26</v>
      </c>
      <c r="E258" t="s">
        <v>452</v>
      </c>
      <c r="F258" t="s">
        <v>454</v>
      </c>
      <c r="G258" s="4">
        <v>94054900</v>
      </c>
      <c r="H258" s="4">
        <v>100</v>
      </c>
      <c r="I258" s="4">
        <v>43.22</v>
      </c>
      <c r="J258" s="4">
        <f t="shared" si="12"/>
        <v>4322</v>
      </c>
      <c r="K258">
        <f t="shared" si="13"/>
        <v>388.97999999999996</v>
      </c>
      <c r="L258">
        <f t="shared" si="14"/>
        <v>388.97999999999996</v>
      </c>
      <c r="M258">
        <f t="shared" si="15"/>
        <v>5100</v>
      </c>
    </row>
    <row r="259" spans="1:13" x14ac:dyDescent="0.25">
      <c r="A259" s="4">
        <v>895</v>
      </c>
      <c r="B259" s="3">
        <v>46031</v>
      </c>
      <c r="C259" t="s">
        <v>137</v>
      </c>
      <c r="D259" t="s">
        <v>30</v>
      </c>
      <c r="E259" t="s">
        <v>452</v>
      </c>
      <c r="F259" t="s">
        <v>454</v>
      </c>
      <c r="G259" s="4">
        <v>94054900</v>
      </c>
      <c r="H259" s="4">
        <v>20</v>
      </c>
      <c r="I259" s="4">
        <v>247.46</v>
      </c>
      <c r="J259" s="4">
        <f t="shared" ref="J259:J322" si="16">I259*H259</f>
        <v>4949.2</v>
      </c>
      <c r="K259">
        <f t="shared" ref="K259:K322" si="17">J259*0.09</f>
        <v>445.42799999999994</v>
      </c>
      <c r="L259">
        <f t="shared" ref="L259:L322" si="18">K259</f>
        <v>445.42799999999994</v>
      </c>
      <c r="M259">
        <f t="shared" ref="M259:M322" si="19">ROUND(J259*1.18,1)</f>
        <v>5840.1</v>
      </c>
    </row>
    <row r="260" spans="1:13" x14ac:dyDescent="0.25">
      <c r="A260" s="4">
        <v>895</v>
      </c>
      <c r="B260" s="3">
        <v>46031</v>
      </c>
      <c r="C260" t="s">
        <v>137</v>
      </c>
      <c r="D260" t="s">
        <v>36</v>
      </c>
      <c r="E260" t="s">
        <v>452</v>
      </c>
      <c r="F260" t="s">
        <v>454</v>
      </c>
      <c r="G260" s="4">
        <v>94054900</v>
      </c>
      <c r="H260" s="4">
        <v>20</v>
      </c>
      <c r="I260" s="4">
        <v>301.69</v>
      </c>
      <c r="J260" s="4">
        <f t="shared" si="16"/>
        <v>6033.8</v>
      </c>
      <c r="K260">
        <f t="shared" si="17"/>
        <v>543.04200000000003</v>
      </c>
      <c r="L260">
        <f t="shared" si="18"/>
        <v>543.04200000000003</v>
      </c>
      <c r="M260">
        <f t="shared" si="19"/>
        <v>7119.9</v>
      </c>
    </row>
    <row r="261" spans="1:13" x14ac:dyDescent="0.25">
      <c r="A261" s="4">
        <v>1261</v>
      </c>
      <c r="B261" s="3">
        <v>46028</v>
      </c>
      <c r="C261" t="s">
        <v>25</v>
      </c>
      <c r="D261" t="s">
        <v>47</v>
      </c>
      <c r="E261" t="s">
        <v>452</v>
      </c>
      <c r="F261" t="s">
        <v>454</v>
      </c>
      <c r="G261" s="4">
        <v>94054900</v>
      </c>
      <c r="H261" s="4">
        <v>6</v>
      </c>
      <c r="I261" s="4">
        <v>182.2</v>
      </c>
      <c r="J261" s="4">
        <f t="shared" si="16"/>
        <v>1093.1999999999998</v>
      </c>
      <c r="K261">
        <f t="shared" si="17"/>
        <v>98.387999999999977</v>
      </c>
      <c r="L261">
        <f t="shared" si="18"/>
        <v>98.387999999999977</v>
      </c>
      <c r="M261">
        <f t="shared" si="19"/>
        <v>1290</v>
      </c>
    </row>
    <row r="262" spans="1:13" x14ac:dyDescent="0.25">
      <c r="A262" s="4">
        <v>1261</v>
      </c>
      <c r="B262" s="3">
        <v>46028</v>
      </c>
      <c r="C262" t="s">
        <v>25</v>
      </c>
      <c r="D262" t="s">
        <v>61</v>
      </c>
      <c r="E262" t="s">
        <v>452</v>
      </c>
      <c r="F262" t="s">
        <v>454</v>
      </c>
      <c r="G262" s="4">
        <v>94054900</v>
      </c>
      <c r="H262" s="4">
        <v>3</v>
      </c>
      <c r="I262" s="4">
        <v>263.56</v>
      </c>
      <c r="J262" s="4">
        <f t="shared" si="16"/>
        <v>790.68000000000006</v>
      </c>
      <c r="K262">
        <f t="shared" si="17"/>
        <v>71.161200000000008</v>
      </c>
      <c r="L262">
        <f t="shared" si="18"/>
        <v>71.161200000000008</v>
      </c>
      <c r="M262">
        <f t="shared" si="19"/>
        <v>933</v>
      </c>
    </row>
    <row r="263" spans="1:13" x14ac:dyDescent="0.25">
      <c r="A263" s="4">
        <v>1261</v>
      </c>
      <c r="B263" s="3">
        <v>46028</v>
      </c>
      <c r="C263" t="s">
        <v>25</v>
      </c>
      <c r="D263" t="s">
        <v>62</v>
      </c>
      <c r="E263" t="s">
        <v>452</v>
      </c>
      <c r="F263" t="s">
        <v>454</v>
      </c>
      <c r="G263" s="4">
        <v>94054900</v>
      </c>
      <c r="H263" s="4">
        <v>3</v>
      </c>
      <c r="I263" s="4">
        <v>216.1</v>
      </c>
      <c r="J263" s="4">
        <f t="shared" si="16"/>
        <v>648.29999999999995</v>
      </c>
      <c r="K263">
        <f t="shared" si="17"/>
        <v>58.346999999999994</v>
      </c>
      <c r="L263">
        <f t="shared" si="18"/>
        <v>58.346999999999994</v>
      </c>
      <c r="M263">
        <f t="shared" si="19"/>
        <v>765</v>
      </c>
    </row>
    <row r="264" spans="1:13" x14ac:dyDescent="0.25">
      <c r="A264" s="4">
        <v>1262</v>
      </c>
      <c r="B264" s="3">
        <v>46028</v>
      </c>
      <c r="C264" t="s">
        <v>17</v>
      </c>
      <c r="D264" t="s">
        <v>36</v>
      </c>
      <c r="E264" t="s">
        <v>452</v>
      </c>
      <c r="F264" t="s">
        <v>454</v>
      </c>
      <c r="G264" s="4">
        <v>94054900</v>
      </c>
      <c r="H264" s="4">
        <v>5</v>
      </c>
      <c r="I264" s="4">
        <v>322.88</v>
      </c>
      <c r="J264" s="4">
        <f t="shared" si="16"/>
        <v>1614.4</v>
      </c>
      <c r="K264">
        <f t="shared" si="17"/>
        <v>145.29599999999999</v>
      </c>
      <c r="L264">
        <f t="shared" si="18"/>
        <v>145.29599999999999</v>
      </c>
      <c r="M264">
        <f t="shared" si="19"/>
        <v>1905</v>
      </c>
    </row>
    <row r="265" spans="1:13" x14ac:dyDescent="0.25">
      <c r="A265" s="4">
        <v>1262</v>
      </c>
      <c r="B265" s="3">
        <v>46028</v>
      </c>
      <c r="C265" t="s">
        <v>17</v>
      </c>
      <c r="D265" t="s">
        <v>30</v>
      </c>
      <c r="E265" t="s">
        <v>452</v>
      </c>
      <c r="F265" t="s">
        <v>454</v>
      </c>
      <c r="G265" s="4">
        <v>94054900</v>
      </c>
      <c r="H265" s="4">
        <v>5</v>
      </c>
      <c r="I265" s="4">
        <v>279.66000000000003</v>
      </c>
      <c r="J265" s="4">
        <f t="shared" si="16"/>
        <v>1398.3000000000002</v>
      </c>
      <c r="K265">
        <f t="shared" si="17"/>
        <v>125.84700000000001</v>
      </c>
      <c r="L265">
        <f t="shared" si="18"/>
        <v>125.84700000000001</v>
      </c>
      <c r="M265">
        <f t="shared" si="19"/>
        <v>1650</v>
      </c>
    </row>
    <row r="266" spans="1:13" x14ac:dyDescent="0.25">
      <c r="A266" s="4">
        <v>890</v>
      </c>
      <c r="B266" s="3">
        <v>46026</v>
      </c>
      <c r="C266" t="s">
        <v>112</v>
      </c>
      <c r="D266" t="s">
        <v>107</v>
      </c>
      <c r="E266" t="s">
        <v>452</v>
      </c>
      <c r="F266" t="s">
        <v>453</v>
      </c>
      <c r="G266" s="4">
        <v>84145120</v>
      </c>
      <c r="H266" s="4">
        <v>1</v>
      </c>
      <c r="I266" s="4">
        <v>2610.17</v>
      </c>
      <c r="J266" s="4">
        <f t="shared" si="16"/>
        <v>2610.17</v>
      </c>
      <c r="K266">
        <f t="shared" si="17"/>
        <v>234.9153</v>
      </c>
      <c r="L266">
        <f t="shared" si="18"/>
        <v>234.9153</v>
      </c>
      <c r="M266">
        <f t="shared" si="19"/>
        <v>3080</v>
      </c>
    </row>
    <row r="267" spans="1:13" x14ac:dyDescent="0.25">
      <c r="A267" s="4">
        <v>1260</v>
      </c>
      <c r="B267" s="3">
        <v>46025</v>
      </c>
      <c r="C267" t="s">
        <v>10</v>
      </c>
      <c r="D267" t="s">
        <v>26</v>
      </c>
      <c r="E267" t="s">
        <v>452</v>
      </c>
      <c r="F267" t="s">
        <v>454</v>
      </c>
      <c r="G267" s="4">
        <v>94054900</v>
      </c>
      <c r="H267" s="4">
        <v>20</v>
      </c>
      <c r="I267" s="4">
        <v>48.31</v>
      </c>
      <c r="J267" s="4">
        <f t="shared" si="16"/>
        <v>966.2</v>
      </c>
      <c r="K267">
        <f t="shared" si="17"/>
        <v>86.957999999999998</v>
      </c>
      <c r="L267">
        <f t="shared" si="18"/>
        <v>86.957999999999998</v>
      </c>
      <c r="M267">
        <f t="shared" si="19"/>
        <v>1140.0999999999999</v>
      </c>
    </row>
    <row r="268" spans="1:13" x14ac:dyDescent="0.25">
      <c r="A268" s="4">
        <v>1260</v>
      </c>
      <c r="B268" s="3">
        <v>46025</v>
      </c>
      <c r="C268" t="s">
        <v>10</v>
      </c>
      <c r="D268" t="s">
        <v>14</v>
      </c>
      <c r="E268" t="s">
        <v>452</v>
      </c>
      <c r="F268" t="s">
        <v>454</v>
      </c>
      <c r="G268" s="4">
        <v>94054900</v>
      </c>
      <c r="H268" s="4">
        <v>10</v>
      </c>
      <c r="I268" s="4">
        <v>63.56</v>
      </c>
      <c r="J268" s="4">
        <f t="shared" si="16"/>
        <v>635.6</v>
      </c>
      <c r="K268">
        <f t="shared" si="17"/>
        <v>57.204000000000001</v>
      </c>
      <c r="L268">
        <f t="shared" si="18"/>
        <v>57.204000000000001</v>
      </c>
      <c r="M268">
        <f t="shared" si="19"/>
        <v>750</v>
      </c>
    </row>
    <row r="269" spans="1:13" x14ac:dyDescent="0.25">
      <c r="A269" s="4">
        <v>1260</v>
      </c>
      <c r="B269" s="3">
        <v>46025</v>
      </c>
      <c r="C269" t="s">
        <v>10</v>
      </c>
      <c r="D269" t="s">
        <v>145</v>
      </c>
      <c r="E269" t="s">
        <v>452</v>
      </c>
      <c r="F269" t="s">
        <v>454</v>
      </c>
      <c r="G269" s="4">
        <v>94054900</v>
      </c>
      <c r="H269" s="4">
        <v>10</v>
      </c>
      <c r="I269" s="4">
        <v>74.58</v>
      </c>
      <c r="J269" s="4">
        <f t="shared" si="16"/>
        <v>745.8</v>
      </c>
      <c r="K269">
        <f t="shared" si="17"/>
        <v>67.122</v>
      </c>
      <c r="L269">
        <f t="shared" si="18"/>
        <v>67.122</v>
      </c>
      <c r="M269">
        <f t="shared" si="19"/>
        <v>880</v>
      </c>
    </row>
    <row r="270" spans="1:13" x14ac:dyDescent="0.25">
      <c r="A270" s="4">
        <v>1260</v>
      </c>
      <c r="B270" s="3">
        <v>46025</v>
      </c>
      <c r="C270" t="s">
        <v>10</v>
      </c>
      <c r="D270" t="s">
        <v>15</v>
      </c>
      <c r="E270" t="s">
        <v>452</v>
      </c>
      <c r="F270" t="s">
        <v>454</v>
      </c>
      <c r="G270" s="4">
        <v>94054900</v>
      </c>
      <c r="H270" s="4">
        <v>10</v>
      </c>
      <c r="I270" s="4">
        <v>110.17</v>
      </c>
      <c r="J270" s="4">
        <f t="shared" si="16"/>
        <v>1101.7</v>
      </c>
      <c r="K270">
        <f t="shared" si="17"/>
        <v>99.153000000000006</v>
      </c>
      <c r="L270">
        <f t="shared" si="18"/>
        <v>99.153000000000006</v>
      </c>
      <c r="M270">
        <f t="shared" si="19"/>
        <v>1300</v>
      </c>
    </row>
    <row r="271" spans="1:13" x14ac:dyDescent="0.25">
      <c r="A271" s="4">
        <v>892</v>
      </c>
      <c r="B271" s="3">
        <v>46025</v>
      </c>
      <c r="C271" t="s">
        <v>129</v>
      </c>
      <c r="D271" t="s">
        <v>63</v>
      </c>
      <c r="E271" t="s">
        <v>452</v>
      </c>
      <c r="F271" t="s">
        <v>454</v>
      </c>
      <c r="G271" s="4">
        <v>94054900</v>
      </c>
      <c r="H271" s="4">
        <v>20</v>
      </c>
      <c r="I271" s="4">
        <v>150</v>
      </c>
      <c r="J271" s="4">
        <f t="shared" si="16"/>
        <v>3000</v>
      </c>
      <c r="K271">
        <f t="shared" si="17"/>
        <v>270</v>
      </c>
      <c r="L271">
        <f t="shared" si="18"/>
        <v>270</v>
      </c>
      <c r="M271">
        <f t="shared" si="19"/>
        <v>3540</v>
      </c>
    </row>
    <row r="272" spans="1:13" x14ac:dyDescent="0.25">
      <c r="A272" s="4">
        <v>892</v>
      </c>
      <c r="B272" s="3">
        <v>46025</v>
      </c>
      <c r="C272" t="s">
        <v>129</v>
      </c>
      <c r="D272" t="s">
        <v>56</v>
      </c>
      <c r="E272" t="s">
        <v>452</v>
      </c>
      <c r="F272" t="s">
        <v>454</v>
      </c>
      <c r="G272" s="4">
        <v>94054900</v>
      </c>
      <c r="H272" s="4">
        <v>20</v>
      </c>
      <c r="I272" s="4">
        <v>156.78</v>
      </c>
      <c r="J272" s="4">
        <f t="shared" si="16"/>
        <v>3135.6</v>
      </c>
      <c r="K272">
        <f t="shared" si="17"/>
        <v>282.20400000000001</v>
      </c>
      <c r="L272">
        <f t="shared" si="18"/>
        <v>282.20400000000001</v>
      </c>
      <c r="M272">
        <f t="shared" si="19"/>
        <v>3700</v>
      </c>
    </row>
    <row r="273" spans="1:13" x14ac:dyDescent="0.25">
      <c r="A273" s="4">
        <v>893</v>
      </c>
      <c r="B273" s="3">
        <v>46025</v>
      </c>
      <c r="C273" t="s">
        <v>115</v>
      </c>
      <c r="D273" t="s">
        <v>72</v>
      </c>
      <c r="E273" t="s">
        <v>452</v>
      </c>
      <c r="F273" t="s">
        <v>454</v>
      </c>
      <c r="G273" s="4">
        <v>94054900</v>
      </c>
      <c r="H273" s="4">
        <v>5</v>
      </c>
      <c r="I273" s="4">
        <v>177.96</v>
      </c>
      <c r="J273" s="4">
        <f t="shared" si="16"/>
        <v>889.80000000000007</v>
      </c>
      <c r="K273">
        <f t="shared" si="17"/>
        <v>80.082000000000008</v>
      </c>
      <c r="L273">
        <f t="shared" si="18"/>
        <v>80.082000000000008</v>
      </c>
      <c r="M273">
        <f t="shared" si="19"/>
        <v>1050</v>
      </c>
    </row>
    <row r="274" spans="1:13" x14ac:dyDescent="0.25">
      <c r="A274" s="4">
        <v>893</v>
      </c>
      <c r="B274" s="3">
        <v>46025</v>
      </c>
      <c r="C274" t="s">
        <v>115</v>
      </c>
      <c r="D274" t="s">
        <v>30</v>
      </c>
      <c r="E274" t="s">
        <v>452</v>
      </c>
      <c r="F274" t="s">
        <v>454</v>
      </c>
      <c r="G274" s="4">
        <v>94054900</v>
      </c>
      <c r="H274" s="4">
        <v>10</v>
      </c>
      <c r="I274" s="4">
        <v>266.94</v>
      </c>
      <c r="J274" s="4">
        <f t="shared" si="16"/>
        <v>2669.4</v>
      </c>
      <c r="K274">
        <f t="shared" si="17"/>
        <v>240.24600000000001</v>
      </c>
      <c r="L274">
        <f t="shared" si="18"/>
        <v>240.24600000000001</v>
      </c>
      <c r="M274">
        <f t="shared" si="19"/>
        <v>3149.9</v>
      </c>
    </row>
    <row r="275" spans="1:13" x14ac:dyDescent="0.25">
      <c r="A275" s="4">
        <v>1254</v>
      </c>
      <c r="B275" s="3">
        <v>46022</v>
      </c>
      <c r="C275" t="s">
        <v>38</v>
      </c>
      <c r="D275" t="s">
        <v>59</v>
      </c>
      <c r="E275" t="s">
        <v>452</v>
      </c>
      <c r="F275" t="s">
        <v>454</v>
      </c>
      <c r="G275" s="4">
        <v>94054900</v>
      </c>
      <c r="H275" s="4">
        <v>40</v>
      </c>
      <c r="I275" s="4">
        <v>212.71</v>
      </c>
      <c r="J275" s="4">
        <f t="shared" si="16"/>
        <v>8508.4</v>
      </c>
      <c r="K275">
        <f t="shared" si="17"/>
        <v>765.75599999999997</v>
      </c>
      <c r="L275">
        <f t="shared" si="18"/>
        <v>765.75599999999997</v>
      </c>
      <c r="M275">
        <f t="shared" si="19"/>
        <v>10039.9</v>
      </c>
    </row>
    <row r="276" spans="1:13" x14ac:dyDescent="0.25">
      <c r="A276" s="4">
        <v>1254</v>
      </c>
      <c r="B276" s="3">
        <v>46022</v>
      </c>
      <c r="C276" t="s">
        <v>38</v>
      </c>
      <c r="D276" t="s">
        <v>75</v>
      </c>
      <c r="E276" t="s">
        <v>452</v>
      </c>
      <c r="F276" t="s">
        <v>454</v>
      </c>
      <c r="G276" s="4">
        <v>94054900</v>
      </c>
      <c r="H276" s="4">
        <v>50</v>
      </c>
      <c r="I276" s="4">
        <v>50</v>
      </c>
      <c r="J276" s="4">
        <f t="shared" si="16"/>
        <v>2500</v>
      </c>
      <c r="K276">
        <f t="shared" si="17"/>
        <v>225</v>
      </c>
      <c r="L276">
        <f t="shared" si="18"/>
        <v>225</v>
      </c>
      <c r="M276">
        <f t="shared" si="19"/>
        <v>2950</v>
      </c>
    </row>
    <row r="277" spans="1:13" x14ac:dyDescent="0.25">
      <c r="A277" s="4">
        <v>1254</v>
      </c>
      <c r="B277" s="3">
        <v>46022</v>
      </c>
      <c r="C277" t="s">
        <v>38</v>
      </c>
      <c r="D277" t="s">
        <v>76</v>
      </c>
      <c r="E277" t="s">
        <v>452</v>
      </c>
      <c r="F277" t="s">
        <v>454</v>
      </c>
      <c r="G277" s="4">
        <v>94054900</v>
      </c>
      <c r="H277" s="4">
        <v>50</v>
      </c>
      <c r="I277" s="4">
        <v>50</v>
      </c>
      <c r="J277" s="4">
        <f t="shared" si="16"/>
        <v>2500</v>
      </c>
      <c r="K277">
        <f t="shared" si="17"/>
        <v>225</v>
      </c>
      <c r="L277">
        <f t="shared" si="18"/>
        <v>225</v>
      </c>
      <c r="M277">
        <f t="shared" si="19"/>
        <v>2950</v>
      </c>
    </row>
    <row r="278" spans="1:13" x14ac:dyDescent="0.25">
      <c r="A278" s="4">
        <v>1257</v>
      </c>
      <c r="B278" s="3">
        <v>46022</v>
      </c>
      <c r="C278" t="s">
        <v>31</v>
      </c>
      <c r="D278" t="s">
        <v>60</v>
      </c>
      <c r="E278" t="s">
        <v>452</v>
      </c>
      <c r="F278" t="s">
        <v>454</v>
      </c>
      <c r="G278" s="4">
        <v>94054900</v>
      </c>
      <c r="H278">
        <v>3</v>
      </c>
      <c r="I278">
        <v>474.58</v>
      </c>
      <c r="J278" s="4">
        <f t="shared" si="16"/>
        <v>1423.74</v>
      </c>
      <c r="K278">
        <f t="shared" si="17"/>
        <v>128.13659999999999</v>
      </c>
      <c r="L278">
        <f t="shared" si="18"/>
        <v>128.13659999999999</v>
      </c>
      <c r="M278">
        <f t="shared" si="19"/>
        <v>1680</v>
      </c>
    </row>
    <row r="279" spans="1:13" x14ac:dyDescent="0.25">
      <c r="A279" s="4">
        <v>1257</v>
      </c>
      <c r="B279" s="3">
        <v>46022</v>
      </c>
      <c r="C279" t="s">
        <v>31</v>
      </c>
      <c r="D279" t="s">
        <v>73</v>
      </c>
      <c r="E279" t="s">
        <v>452</v>
      </c>
      <c r="F279" t="s">
        <v>454</v>
      </c>
      <c r="G279" s="4">
        <v>94054900</v>
      </c>
      <c r="H279">
        <v>3</v>
      </c>
      <c r="I279">
        <v>491.53</v>
      </c>
      <c r="J279" s="4">
        <f t="shared" si="16"/>
        <v>1474.59</v>
      </c>
      <c r="K279">
        <f t="shared" si="17"/>
        <v>132.7131</v>
      </c>
      <c r="L279">
        <f t="shared" si="18"/>
        <v>132.7131</v>
      </c>
      <c r="M279">
        <f t="shared" si="19"/>
        <v>1740</v>
      </c>
    </row>
    <row r="280" spans="1:13" x14ac:dyDescent="0.25">
      <c r="A280" s="4">
        <v>1258</v>
      </c>
      <c r="B280" s="3">
        <v>46022</v>
      </c>
      <c r="C280" t="s">
        <v>20</v>
      </c>
      <c r="D280" t="s">
        <v>59</v>
      </c>
      <c r="E280" t="s">
        <v>452</v>
      </c>
      <c r="F280" t="s">
        <v>454</v>
      </c>
      <c r="G280" s="4">
        <v>94054900</v>
      </c>
      <c r="H280">
        <v>40</v>
      </c>
      <c r="I280">
        <v>211.86</v>
      </c>
      <c r="J280" s="4">
        <f t="shared" si="16"/>
        <v>8474.4000000000015</v>
      </c>
      <c r="K280">
        <f t="shared" si="17"/>
        <v>762.69600000000014</v>
      </c>
      <c r="L280">
        <f t="shared" si="18"/>
        <v>762.69600000000014</v>
      </c>
      <c r="M280">
        <f t="shared" si="19"/>
        <v>9999.7999999999993</v>
      </c>
    </row>
    <row r="281" spans="1:13" x14ac:dyDescent="0.25">
      <c r="A281" s="4">
        <v>1258</v>
      </c>
      <c r="B281" s="3">
        <v>46022</v>
      </c>
      <c r="C281" t="s">
        <v>20</v>
      </c>
      <c r="D281" t="s">
        <v>30</v>
      </c>
      <c r="E281" t="s">
        <v>452</v>
      </c>
      <c r="F281" t="s">
        <v>454</v>
      </c>
      <c r="G281" s="4">
        <v>94054900</v>
      </c>
      <c r="H281">
        <v>20</v>
      </c>
      <c r="I281">
        <v>279.66000000000003</v>
      </c>
      <c r="J281" s="4">
        <f t="shared" si="16"/>
        <v>5593.2000000000007</v>
      </c>
      <c r="K281">
        <f t="shared" si="17"/>
        <v>503.38800000000003</v>
      </c>
      <c r="L281">
        <f t="shared" si="18"/>
        <v>503.38800000000003</v>
      </c>
      <c r="M281">
        <f t="shared" si="19"/>
        <v>6600</v>
      </c>
    </row>
    <row r="282" spans="1:13" x14ac:dyDescent="0.25">
      <c r="A282" s="4">
        <v>888</v>
      </c>
      <c r="B282" s="3">
        <v>46022</v>
      </c>
      <c r="C282" t="s">
        <v>129</v>
      </c>
      <c r="D282" t="s">
        <v>125</v>
      </c>
      <c r="E282" t="s">
        <v>452</v>
      </c>
      <c r="F282" t="s">
        <v>454</v>
      </c>
      <c r="G282" s="4">
        <v>94054900</v>
      </c>
      <c r="H282">
        <v>30</v>
      </c>
      <c r="I282">
        <v>127.11</v>
      </c>
      <c r="J282" s="4">
        <f t="shared" si="16"/>
        <v>3813.3</v>
      </c>
      <c r="K282">
        <f t="shared" si="17"/>
        <v>343.197</v>
      </c>
      <c r="L282">
        <f t="shared" si="18"/>
        <v>343.197</v>
      </c>
      <c r="M282">
        <f t="shared" si="19"/>
        <v>4499.7</v>
      </c>
    </row>
    <row r="283" spans="1:13" x14ac:dyDescent="0.25">
      <c r="A283" s="4">
        <v>889</v>
      </c>
      <c r="B283" s="3">
        <v>46022</v>
      </c>
      <c r="C283" t="s">
        <v>114</v>
      </c>
      <c r="D283" t="s">
        <v>47</v>
      </c>
      <c r="E283" t="s">
        <v>452</v>
      </c>
      <c r="F283" t="s">
        <v>454</v>
      </c>
      <c r="G283" s="4">
        <v>94054900</v>
      </c>
      <c r="H283">
        <v>7</v>
      </c>
      <c r="I283">
        <v>183.05</v>
      </c>
      <c r="J283" s="4">
        <f t="shared" si="16"/>
        <v>1281.3500000000001</v>
      </c>
      <c r="K283">
        <f t="shared" si="17"/>
        <v>115.32150000000001</v>
      </c>
      <c r="L283">
        <f t="shared" si="18"/>
        <v>115.32150000000001</v>
      </c>
      <c r="M283">
        <f t="shared" si="19"/>
        <v>1512</v>
      </c>
    </row>
    <row r="284" spans="1:13" x14ac:dyDescent="0.25">
      <c r="A284" s="4">
        <v>889</v>
      </c>
      <c r="B284" s="3">
        <v>46022</v>
      </c>
      <c r="C284" t="s">
        <v>114</v>
      </c>
      <c r="D284" t="s">
        <v>16</v>
      </c>
      <c r="E284" t="s">
        <v>452</v>
      </c>
      <c r="F284" t="s">
        <v>454</v>
      </c>
      <c r="G284" s="4">
        <v>94054900</v>
      </c>
      <c r="H284">
        <v>20</v>
      </c>
      <c r="I284">
        <v>190.67</v>
      </c>
      <c r="J284" s="4">
        <f t="shared" si="16"/>
        <v>3813.3999999999996</v>
      </c>
      <c r="K284">
        <f t="shared" si="17"/>
        <v>343.20599999999996</v>
      </c>
      <c r="L284">
        <f t="shared" si="18"/>
        <v>343.20599999999996</v>
      </c>
      <c r="M284">
        <f t="shared" si="19"/>
        <v>4499.8</v>
      </c>
    </row>
    <row r="285" spans="1:13" x14ac:dyDescent="0.25">
      <c r="A285" s="4">
        <v>1255</v>
      </c>
      <c r="B285" s="3">
        <v>46021</v>
      </c>
      <c r="C285" t="s">
        <v>22</v>
      </c>
      <c r="D285" t="s">
        <v>72</v>
      </c>
      <c r="E285" t="s">
        <v>452</v>
      </c>
      <c r="F285" t="s">
        <v>454</v>
      </c>
      <c r="G285" s="4">
        <v>94054900</v>
      </c>
      <c r="H285">
        <v>6</v>
      </c>
      <c r="I285">
        <v>279.66000000000003</v>
      </c>
      <c r="J285" s="4">
        <f t="shared" si="16"/>
        <v>1677.96</v>
      </c>
      <c r="K285">
        <f t="shared" si="17"/>
        <v>151.0164</v>
      </c>
      <c r="L285">
        <f t="shared" si="18"/>
        <v>151.0164</v>
      </c>
      <c r="M285">
        <f t="shared" si="19"/>
        <v>1980</v>
      </c>
    </row>
    <row r="286" spans="1:13" x14ac:dyDescent="0.25">
      <c r="A286" s="4">
        <v>1255</v>
      </c>
      <c r="B286" s="3">
        <v>46021</v>
      </c>
      <c r="C286" t="s">
        <v>22</v>
      </c>
      <c r="D286" t="s">
        <v>30</v>
      </c>
      <c r="E286" t="s">
        <v>452</v>
      </c>
      <c r="F286" t="s">
        <v>454</v>
      </c>
      <c r="G286" s="4">
        <v>94054900</v>
      </c>
      <c r="H286">
        <v>6</v>
      </c>
      <c r="I286">
        <v>194.92</v>
      </c>
      <c r="J286" s="4">
        <f t="shared" si="16"/>
        <v>1169.52</v>
      </c>
      <c r="K286">
        <f t="shared" si="17"/>
        <v>105.2568</v>
      </c>
      <c r="L286">
        <f t="shared" si="18"/>
        <v>105.2568</v>
      </c>
      <c r="M286">
        <f t="shared" si="19"/>
        <v>1380</v>
      </c>
    </row>
    <row r="287" spans="1:13" x14ac:dyDescent="0.25">
      <c r="A287" s="4">
        <v>1256</v>
      </c>
      <c r="B287" s="3">
        <v>46020</v>
      </c>
      <c r="C287" t="s">
        <v>25</v>
      </c>
      <c r="D287" t="s">
        <v>16</v>
      </c>
      <c r="E287" t="s">
        <v>452</v>
      </c>
      <c r="F287" t="s">
        <v>454</v>
      </c>
      <c r="G287" s="4">
        <v>94054900</v>
      </c>
      <c r="H287">
        <v>10</v>
      </c>
      <c r="I287">
        <v>190.68</v>
      </c>
      <c r="J287" s="4">
        <f t="shared" si="16"/>
        <v>1906.8000000000002</v>
      </c>
      <c r="K287">
        <f t="shared" si="17"/>
        <v>171.61200000000002</v>
      </c>
      <c r="L287">
        <f t="shared" si="18"/>
        <v>171.61200000000002</v>
      </c>
      <c r="M287">
        <f t="shared" si="19"/>
        <v>2250</v>
      </c>
    </row>
    <row r="288" spans="1:13" x14ac:dyDescent="0.25">
      <c r="A288" s="4">
        <v>1252</v>
      </c>
      <c r="B288" s="3">
        <v>46014</v>
      </c>
      <c r="C288" t="s">
        <v>17</v>
      </c>
      <c r="D288" t="s">
        <v>47</v>
      </c>
      <c r="E288" t="s">
        <v>452</v>
      </c>
      <c r="F288" t="s">
        <v>454</v>
      </c>
      <c r="G288" s="4">
        <v>94054900</v>
      </c>
      <c r="H288">
        <v>15</v>
      </c>
      <c r="I288">
        <v>183.05</v>
      </c>
      <c r="J288" s="4">
        <f t="shared" si="16"/>
        <v>2745.75</v>
      </c>
      <c r="K288">
        <f t="shared" si="17"/>
        <v>247.11749999999998</v>
      </c>
      <c r="L288">
        <f t="shared" si="18"/>
        <v>247.11749999999998</v>
      </c>
      <c r="M288">
        <f t="shared" si="19"/>
        <v>3240</v>
      </c>
    </row>
    <row r="289" spans="1:13" x14ac:dyDescent="0.25">
      <c r="A289" s="4">
        <v>1252</v>
      </c>
      <c r="B289" s="3">
        <v>46014</v>
      </c>
      <c r="C289" t="s">
        <v>17</v>
      </c>
      <c r="D289" t="s">
        <v>74</v>
      </c>
      <c r="E289" t="s">
        <v>452</v>
      </c>
      <c r="F289" t="s">
        <v>454</v>
      </c>
      <c r="G289" s="4">
        <v>94054900</v>
      </c>
      <c r="H289">
        <v>10</v>
      </c>
      <c r="I289">
        <v>108.47</v>
      </c>
      <c r="J289" s="4">
        <f t="shared" si="16"/>
        <v>1084.7</v>
      </c>
      <c r="K289">
        <f t="shared" si="17"/>
        <v>97.623000000000005</v>
      </c>
      <c r="L289">
        <f t="shared" si="18"/>
        <v>97.623000000000005</v>
      </c>
      <c r="M289">
        <f t="shared" si="19"/>
        <v>1279.9000000000001</v>
      </c>
    </row>
    <row r="290" spans="1:13" x14ac:dyDescent="0.25">
      <c r="A290" s="4">
        <v>883</v>
      </c>
      <c r="B290" s="3">
        <v>46014</v>
      </c>
      <c r="C290" t="s">
        <v>129</v>
      </c>
      <c r="D290" t="s">
        <v>47</v>
      </c>
      <c r="E290" t="s">
        <v>452</v>
      </c>
      <c r="F290" t="s">
        <v>454</v>
      </c>
      <c r="G290" s="4">
        <v>94054900</v>
      </c>
      <c r="H290">
        <v>12</v>
      </c>
      <c r="I290">
        <v>182.2</v>
      </c>
      <c r="J290" s="4">
        <f t="shared" si="16"/>
        <v>2186.3999999999996</v>
      </c>
      <c r="K290">
        <f t="shared" si="17"/>
        <v>196.77599999999995</v>
      </c>
      <c r="L290">
        <f t="shared" si="18"/>
        <v>196.77599999999995</v>
      </c>
      <c r="M290">
        <f t="shared" si="19"/>
        <v>2580</v>
      </c>
    </row>
    <row r="291" spans="1:13" x14ac:dyDescent="0.25">
      <c r="A291" s="4">
        <v>883</v>
      </c>
      <c r="B291" s="3">
        <v>46014</v>
      </c>
      <c r="C291" t="s">
        <v>129</v>
      </c>
      <c r="D291" t="s">
        <v>130</v>
      </c>
      <c r="E291" t="s">
        <v>452</v>
      </c>
      <c r="F291" t="s">
        <v>454</v>
      </c>
      <c r="G291" s="4">
        <v>94054900</v>
      </c>
      <c r="H291">
        <v>6</v>
      </c>
      <c r="I291">
        <v>504.23</v>
      </c>
      <c r="J291" s="4">
        <f t="shared" si="16"/>
        <v>3025.38</v>
      </c>
      <c r="K291">
        <f t="shared" si="17"/>
        <v>272.2842</v>
      </c>
      <c r="L291">
        <f t="shared" si="18"/>
        <v>272.2842</v>
      </c>
      <c r="M291">
        <f t="shared" si="19"/>
        <v>3569.9</v>
      </c>
    </row>
    <row r="292" spans="1:13" x14ac:dyDescent="0.25">
      <c r="A292" s="4">
        <v>883</v>
      </c>
      <c r="B292" s="3">
        <v>46014</v>
      </c>
      <c r="C292" t="s">
        <v>129</v>
      </c>
      <c r="D292" t="s">
        <v>131</v>
      </c>
      <c r="E292" t="s">
        <v>452</v>
      </c>
      <c r="F292" t="s">
        <v>454</v>
      </c>
      <c r="G292" s="4">
        <v>94054900</v>
      </c>
      <c r="H292">
        <v>6</v>
      </c>
      <c r="I292">
        <v>648.29999999999995</v>
      </c>
      <c r="J292" s="4">
        <f t="shared" si="16"/>
        <v>3889.7999999999997</v>
      </c>
      <c r="K292">
        <f t="shared" si="17"/>
        <v>350.08199999999994</v>
      </c>
      <c r="L292">
        <f t="shared" si="18"/>
        <v>350.08199999999994</v>
      </c>
      <c r="M292">
        <f t="shared" si="19"/>
        <v>4590</v>
      </c>
    </row>
    <row r="293" spans="1:13" x14ac:dyDescent="0.25">
      <c r="A293" s="4">
        <v>883</v>
      </c>
      <c r="B293" s="3">
        <v>46014</v>
      </c>
      <c r="C293" t="s">
        <v>129</v>
      </c>
      <c r="D293" t="s">
        <v>123</v>
      </c>
      <c r="E293" t="s">
        <v>452</v>
      </c>
      <c r="F293" t="s">
        <v>454</v>
      </c>
      <c r="G293" s="4">
        <v>94054900</v>
      </c>
      <c r="H293">
        <v>15</v>
      </c>
      <c r="I293">
        <v>127.11</v>
      </c>
      <c r="J293" s="4">
        <f t="shared" si="16"/>
        <v>1906.65</v>
      </c>
      <c r="K293">
        <f t="shared" si="17"/>
        <v>171.5985</v>
      </c>
      <c r="L293">
        <f t="shared" si="18"/>
        <v>171.5985</v>
      </c>
      <c r="M293">
        <f t="shared" si="19"/>
        <v>2249.8000000000002</v>
      </c>
    </row>
    <row r="294" spans="1:13" x14ac:dyDescent="0.25">
      <c r="A294" s="4">
        <v>883</v>
      </c>
      <c r="B294" s="3">
        <v>46014</v>
      </c>
      <c r="C294" t="s">
        <v>129</v>
      </c>
      <c r="D294" t="s">
        <v>74</v>
      </c>
      <c r="E294" t="s">
        <v>452</v>
      </c>
      <c r="F294" t="s">
        <v>454</v>
      </c>
      <c r="G294" s="4">
        <v>94054900</v>
      </c>
      <c r="H294">
        <v>20</v>
      </c>
      <c r="I294">
        <v>127.11</v>
      </c>
      <c r="J294" s="4">
        <f t="shared" si="16"/>
        <v>2542.1999999999998</v>
      </c>
      <c r="K294">
        <f t="shared" si="17"/>
        <v>228.79799999999997</v>
      </c>
      <c r="L294">
        <f t="shared" si="18"/>
        <v>228.79799999999997</v>
      </c>
      <c r="M294">
        <f t="shared" si="19"/>
        <v>2999.8</v>
      </c>
    </row>
    <row r="295" spans="1:13" x14ac:dyDescent="0.25">
      <c r="A295" s="4">
        <v>882</v>
      </c>
      <c r="B295" s="3">
        <v>46009</v>
      </c>
      <c r="C295" t="s">
        <v>115</v>
      </c>
      <c r="D295" t="s">
        <v>121</v>
      </c>
      <c r="E295" t="s">
        <v>452</v>
      </c>
      <c r="F295" t="s">
        <v>454</v>
      </c>
      <c r="G295" s="4">
        <v>94054900</v>
      </c>
      <c r="H295">
        <v>50</v>
      </c>
      <c r="I295">
        <v>43.22</v>
      </c>
      <c r="J295" s="4">
        <f t="shared" si="16"/>
        <v>2161</v>
      </c>
      <c r="K295">
        <f t="shared" si="17"/>
        <v>194.48999999999998</v>
      </c>
      <c r="L295">
        <f t="shared" si="18"/>
        <v>194.48999999999998</v>
      </c>
      <c r="M295">
        <f t="shared" si="19"/>
        <v>2550</v>
      </c>
    </row>
    <row r="296" spans="1:13" x14ac:dyDescent="0.25">
      <c r="A296" s="4">
        <v>882</v>
      </c>
      <c r="B296" s="3">
        <v>46009</v>
      </c>
      <c r="C296" t="s">
        <v>115</v>
      </c>
      <c r="D296" t="s">
        <v>122</v>
      </c>
      <c r="E296" t="s">
        <v>452</v>
      </c>
      <c r="F296" t="s">
        <v>454</v>
      </c>
      <c r="G296" s="4">
        <v>94054900</v>
      </c>
      <c r="H296">
        <v>15</v>
      </c>
      <c r="I296">
        <v>105.08</v>
      </c>
      <c r="J296" s="4">
        <f t="shared" si="16"/>
        <v>1576.2</v>
      </c>
      <c r="K296">
        <f t="shared" si="17"/>
        <v>141.858</v>
      </c>
      <c r="L296">
        <f t="shared" si="18"/>
        <v>141.858</v>
      </c>
      <c r="M296">
        <f t="shared" si="19"/>
        <v>1859.9</v>
      </c>
    </row>
    <row r="297" spans="1:13" x14ac:dyDescent="0.25">
      <c r="A297" s="4">
        <v>882</v>
      </c>
      <c r="B297" s="3">
        <v>46009</v>
      </c>
      <c r="C297" t="s">
        <v>115</v>
      </c>
      <c r="D297" t="s">
        <v>123</v>
      </c>
      <c r="E297" t="s">
        <v>452</v>
      </c>
      <c r="F297" t="s">
        <v>454</v>
      </c>
      <c r="G297" s="4">
        <v>94054900</v>
      </c>
      <c r="H297">
        <v>15</v>
      </c>
      <c r="I297">
        <v>105.08</v>
      </c>
      <c r="J297" s="4">
        <f t="shared" si="16"/>
        <v>1576.2</v>
      </c>
      <c r="K297">
        <f t="shared" si="17"/>
        <v>141.858</v>
      </c>
      <c r="L297">
        <f t="shared" si="18"/>
        <v>141.858</v>
      </c>
      <c r="M297">
        <f t="shared" si="19"/>
        <v>1859.9</v>
      </c>
    </row>
    <row r="298" spans="1:13" x14ac:dyDescent="0.25">
      <c r="A298" s="4">
        <v>882</v>
      </c>
      <c r="B298" s="3">
        <v>46009</v>
      </c>
      <c r="C298" t="s">
        <v>115</v>
      </c>
      <c r="D298" t="s">
        <v>124</v>
      </c>
      <c r="E298" t="s">
        <v>452</v>
      </c>
      <c r="F298" t="s">
        <v>454</v>
      </c>
      <c r="G298" s="4">
        <v>94054900</v>
      </c>
      <c r="H298">
        <v>30</v>
      </c>
      <c r="I298">
        <v>167.79</v>
      </c>
      <c r="J298" s="4">
        <f t="shared" si="16"/>
        <v>5033.7</v>
      </c>
      <c r="K298">
        <f t="shared" si="17"/>
        <v>453.03299999999996</v>
      </c>
      <c r="L298">
        <f t="shared" si="18"/>
        <v>453.03299999999996</v>
      </c>
      <c r="M298">
        <f t="shared" si="19"/>
        <v>5939.8</v>
      </c>
    </row>
    <row r="299" spans="1:13" x14ac:dyDescent="0.25">
      <c r="A299" s="4">
        <v>882</v>
      </c>
      <c r="B299" s="3">
        <v>46009</v>
      </c>
      <c r="C299" t="s">
        <v>115</v>
      </c>
      <c r="D299" t="s">
        <v>14</v>
      </c>
      <c r="E299" t="s">
        <v>452</v>
      </c>
      <c r="F299" t="s">
        <v>454</v>
      </c>
      <c r="G299" s="4">
        <v>94054900</v>
      </c>
      <c r="H299">
        <v>50</v>
      </c>
      <c r="I299">
        <v>61.86</v>
      </c>
      <c r="J299" s="4">
        <f t="shared" si="16"/>
        <v>3093</v>
      </c>
      <c r="K299">
        <f t="shared" si="17"/>
        <v>278.37</v>
      </c>
      <c r="L299">
        <f t="shared" si="18"/>
        <v>278.37</v>
      </c>
      <c r="M299">
        <f t="shared" si="19"/>
        <v>3649.7</v>
      </c>
    </row>
    <row r="300" spans="1:13" x14ac:dyDescent="0.25">
      <c r="A300" s="4">
        <v>882</v>
      </c>
      <c r="B300" s="3">
        <v>46009</v>
      </c>
      <c r="C300" t="s">
        <v>115</v>
      </c>
      <c r="D300" t="s">
        <v>125</v>
      </c>
      <c r="E300" t="s">
        <v>452</v>
      </c>
      <c r="F300" t="s">
        <v>454</v>
      </c>
      <c r="G300" s="4">
        <v>94054900</v>
      </c>
      <c r="H300">
        <v>40</v>
      </c>
      <c r="I300">
        <v>70.33</v>
      </c>
      <c r="J300" s="4">
        <f t="shared" si="16"/>
        <v>2813.2</v>
      </c>
      <c r="K300">
        <f t="shared" si="17"/>
        <v>253.18799999999999</v>
      </c>
      <c r="L300">
        <f t="shared" si="18"/>
        <v>253.18799999999999</v>
      </c>
      <c r="M300">
        <f t="shared" si="19"/>
        <v>3319.6</v>
      </c>
    </row>
    <row r="301" spans="1:13" x14ac:dyDescent="0.25">
      <c r="A301" s="4">
        <v>882</v>
      </c>
      <c r="B301" s="3">
        <v>46009</v>
      </c>
      <c r="C301" t="s">
        <v>115</v>
      </c>
      <c r="D301" t="s">
        <v>126</v>
      </c>
      <c r="E301" t="s">
        <v>452</v>
      </c>
      <c r="F301" t="s">
        <v>454</v>
      </c>
      <c r="G301" s="4">
        <v>94054900</v>
      </c>
      <c r="H301">
        <v>20</v>
      </c>
      <c r="I301">
        <v>181.35</v>
      </c>
      <c r="J301" s="4">
        <f t="shared" si="16"/>
        <v>3627</v>
      </c>
      <c r="K301">
        <f t="shared" si="17"/>
        <v>326.43</v>
      </c>
      <c r="L301">
        <f t="shared" si="18"/>
        <v>326.43</v>
      </c>
      <c r="M301">
        <f t="shared" si="19"/>
        <v>4279.8999999999996</v>
      </c>
    </row>
    <row r="302" spans="1:13" x14ac:dyDescent="0.25">
      <c r="A302" s="4">
        <v>882</v>
      </c>
      <c r="B302" s="3">
        <v>46009</v>
      </c>
      <c r="C302" t="s">
        <v>115</v>
      </c>
      <c r="D302" t="s">
        <v>74</v>
      </c>
      <c r="E302" t="s">
        <v>452</v>
      </c>
      <c r="F302" t="s">
        <v>454</v>
      </c>
      <c r="G302" s="4">
        <v>94054900</v>
      </c>
      <c r="H302">
        <v>30</v>
      </c>
      <c r="I302">
        <v>105.08</v>
      </c>
      <c r="J302" s="4">
        <f t="shared" si="16"/>
        <v>3152.4</v>
      </c>
      <c r="K302">
        <f t="shared" si="17"/>
        <v>283.71600000000001</v>
      </c>
      <c r="L302">
        <f t="shared" si="18"/>
        <v>283.71600000000001</v>
      </c>
      <c r="M302">
        <f t="shared" si="19"/>
        <v>3719.8</v>
      </c>
    </row>
    <row r="303" spans="1:13" x14ac:dyDescent="0.25">
      <c r="A303" s="4">
        <v>882</v>
      </c>
      <c r="B303" s="3">
        <v>46009</v>
      </c>
      <c r="C303" t="s">
        <v>115</v>
      </c>
      <c r="D303" t="s">
        <v>127</v>
      </c>
      <c r="E303" t="s">
        <v>452</v>
      </c>
      <c r="F303" t="s">
        <v>454</v>
      </c>
      <c r="G303" s="4">
        <v>94054900</v>
      </c>
      <c r="H303">
        <v>30</v>
      </c>
      <c r="I303">
        <v>105.08</v>
      </c>
      <c r="J303" s="4">
        <f t="shared" si="16"/>
        <v>3152.4</v>
      </c>
      <c r="K303">
        <f t="shared" si="17"/>
        <v>283.71600000000001</v>
      </c>
      <c r="L303">
        <f t="shared" si="18"/>
        <v>283.71600000000001</v>
      </c>
      <c r="M303">
        <f t="shared" si="19"/>
        <v>3719.8</v>
      </c>
    </row>
    <row r="304" spans="1:13" x14ac:dyDescent="0.25">
      <c r="A304" s="4">
        <v>882</v>
      </c>
      <c r="B304" s="3">
        <v>46009</v>
      </c>
      <c r="C304" t="s">
        <v>115</v>
      </c>
      <c r="D304" t="s">
        <v>64</v>
      </c>
      <c r="E304" t="s">
        <v>452</v>
      </c>
      <c r="F304" t="s">
        <v>454</v>
      </c>
      <c r="G304" s="4">
        <v>94054900</v>
      </c>
      <c r="H304">
        <v>20</v>
      </c>
      <c r="I304">
        <v>150</v>
      </c>
      <c r="J304" s="4">
        <f t="shared" si="16"/>
        <v>3000</v>
      </c>
      <c r="K304">
        <f t="shared" si="17"/>
        <v>270</v>
      </c>
      <c r="L304">
        <f t="shared" si="18"/>
        <v>270</v>
      </c>
      <c r="M304">
        <f t="shared" si="19"/>
        <v>3540</v>
      </c>
    </row>
    <row r="305" spans="1:13" x14ac:dyDescent="0.25">
      <c r="A305" s="4">
        <v>882</v>
      </c>
      <c r="B305" s="3">
        <v>46009</v>
      </c>
      <c r="C305" t="s">
        <v>115</v>
      </c>
      <c r="D305" t="s">
        <v>58</v>
      </c>
      <c r="E305" t="s">
        <v>452</v>
      </c>
      <c r="F305" t="s">
        <v>454</v>
      </c>
      <c r="G305" s="4">
        <v>94054900</v>
      </c>
      <c r="H305">
        <v>40</v>
      </c>
      <c r="I305">
        <v>169.49</v>
      </c>
      <c r="J305" s="4">
        <f t="shared" si="16"/>
        <v>6779.6</v>
      </c>
      <c r="K305">
        <f t="shared" si="17"/>
        <v>610.16399999999999</v>
      </c>
      <c r="L305">
        <f t="shared" si="18"/>
        <v>610.16399999999999</v>
      </c>
      <c r="M305">
        <f t="shared" si="19"/>
        <v>7999.9</v>
      </c>
    </row>
    <row r="306" spans="1:13" x14ac:dyDescent="0.25">
      <c r="A306" s="4">
        <v>882</v>
      </c>
      <c r="B306" s="3">
        <v>46009</v>
      </c>
      <c r="C306" t="s">
        <v>115</v>
      </c>
      <c r="D306" t="s">
        <v>128</v>
      </c>
      <c r="E306" t="s">
        <v>452</v>
      </c>
      <c r="F306" t="s">
        <v>454</v>
      </c>
      <c r="G306" s="4">
        <v>94054900</v>
      </c>
      <c r="H306">
        <v>20</v>
      </c>
      <c r="I306">
        <v>169.49</v>
      </c>
      <c r="J306" s="4">
        <f t="shared" si="16"/>
        <v>3389.8</v>
      </c>
      <c r="K306">
        <f t="shared" si="17"/>
        <v>305.08199999999999</v>
      </c>
      <c r="L306">
        <f t="shared" si="18"/>
        <v>305.08199999999999</v>
      </c>
      <c r="M306">
        <f t="shared" si="19"/>
        <v>4000</v>
      </c>
    </row>
    <row r="307" spans="1:13" x14ac:dyDescent="0.25">
      <c r="A307" s="4">
        <v>882</v>
      </c>
      <c r="B307" s="3">
        <v>46009</v>
      </c>
      <c r="C307" t="s">
        <v>115</v>
      </c>
      <c r="D307" t="s">
        <v>47</v>
      </c>
      <c r="E307" t="s">
        <v>452</v>
      </c>
      <c r="F307" t="s">
        <v>454</v>
      </c>
      <c r="G307" s="4">
        <v>94054900</v>
      </c>
      <c r="H307">
        <v>72</v>
      </c>
      <c r="I307">
        <v>177.97</v>
      </c>
      <c r="J307" s="4">
        <f t="shared" si="16"/>
        <v>12813.84</v>
      </c>
      <c r="K307">
        <f t="shared" si="17"/>
        <v>1153.2456</v>
      </c>
      <c r="L307">
        <f t="shared" si="18"/>
        <v>1153.2456</v>
      </c>
      <c r="M307">
        <f t="shared" si="19"/>
        <v>15120.3</v>
      </c>
    </row>
    <row r="308" spans="1:13" x14ac:dyDescent="0.25">
      <c r="A308" s="4">
        <v>879</v>
      </c>
      <c r="B308" s="3">
        <v>46008</v>
      </c>
      <c r="C308" t="s">
        <v>12</v>
      </c>
      <c r="D308" t="s">
        <v>120</v>
      </c>
      <c r="E308" t="s">
        <v>133</v>
      </c>
      <c r="H308">
        <v>40</v>
      </c>
      <c r="I308">
        <v>275.42</v>
      </c>
      <c r="J308" s="4">
        <f t="shared" si="16"/>
        <v>11016.800000000001</v>
      </c>
      <c r="K308">
        <f t="shared" si="17"/>
        <v>991.51200000000006</v>
      </c>
      <c r="L308">
        <f t="shared" si="18"/>
        <v>991.51200000000006</v>
      </c>
      <c r="M308">
        <f t="shared" si="19"/>
        <v>12999.8</v>
      </c>
    </row>
    <row r="309" spans="1:13" x14ac:dyDescent="0.25">
      <c r="A309" s="4">
        <v>1210</v>
      </c>
      <c r="B309" s="3">
        <v>46003</v>
      </c>
      <c r="C309" t="s">
        <v>28</v>
      </c>
      <c r="D309" t="s">
        <v>30</v>
      </c>
      <c r="E309" t="s">
        <v>452</v>
      </c>
      <c r="F309" t="s">
        <v>454</v>
      </c>
      <c r="G309" s="4">
        <v>94054900</v>
      </c>
      <c r="H309">
        <v>20</v>
      </c>
      <c r="I309">
        <v>279.66000000000003</v>
      </c>
      <c r="J309" s="4">
        <f t="shared" si="16"/>
        <v>5593.2000000000007</v>
      </c>
      <c r="K309">
        <f t="shared" si="17"/>
        <v>503.38800000000003</v>
      </c>
      <c r="L309">
        <f t="shared" si="18"/>
        <v>503.38800000000003</v>
      </c>
      <c r="M309">
        <f t="shared" si="19"/>
        <v>6600</v>
      </c>
    </row>
    <row r="310" spans="1:13" x14ac:dyDescent="0.25">
      <c r="A310" s="4">
        <v>1210</v>
      </c>
      <c r="B310" s="3">
        <v>46003</v>
      </c>
      <c r="C310" t="s">
        <v>28</v>
      </c>
      <c r="D310" t="s">
        <v>13</v>
      </c>
      <c r="E310" t="s">
        <v>452</v>
      </c>
      <c r="F310" t="s">
        <v>454</v>
      </c>
      <c r="G310" s="4">
        <v>94054900</v>
      </c>
      <c r="H310">
        <v>20</v>
      </c>
      <c r="I310">
        <v>72.03</v>
      </c>
      <c r="J310" s="4">
        <f t="shared" si="16"/>
        <v>1440.6</v>
      </c>
      <c r="K310">
        <f t="shared" si="17"/>
        <v>129.654</v>
      </c>
      <c r="L310">
        <f t="shared" si="18"/>
        <v>129.654</v>
      </c>
      <c r="M310">
        <f t="shared" si="19"/>
        <v>1699.9</v>
      </c>
    </row>
    <row r="311" spans="1:13" x14ac:dyDescent="0.25">
      <c r="A311" s="4">
        <v>878</v>
      </c>
      <c r="B311" s="3">
        <v>46003</v>
      </c>
      <c r="C311" t="s">
        <v>115</v>
      </c>
      <c r="D311" t="s">
        <v>47</v>
      </c>
      <c r="E311" t="s">
        <v>452</v>
      </c>
      <c r="F311" t="s">
        <v>454</v>
      </c>
      <c r="G311" s="4">
        <v>94054900</v>
      </c>
      <c r="H311">
        <v>8</v>
      </c>
      <c r="I311">
        <v>177.96</v>
      </c>
      <c r="J311" s="4">
        <f t="shared" si="16"/>
        <v>1423.68</v>
      </c>
      <c r="K311">
        <f t="shared" si="17"/>
        <v>128.13120000000001</v>
      </c>
      <c r="L311">
        <f t="shared" si="18"/>
        <v>128.13120000000001</v>
      </c>
      <c r="M311">
        <f t="shared" si="19"/>
        <v>1679.9</v>
      </c>
    </row>
    <row r="312" spans="1:13" x14ac:dyDescent="0.25">
      <c r="A312" s="4">
        <v>878</v>
      </c>
      <c r="B312" s="3">
        <v>46003</v>
      </c>
      <c r="C312" t="s">
        <v>115</v>
      </c>
      <c r="D312" t="s">
        <v>118</v>
      </c>
      <c r="E312" t="s">
        <v>452</v>
      </c>
      <c r="F312" t="s">
        <v>454</v>
      </c>
      <c r="G312" s="4">
        <v>94054900</v>
      </c>
      <c r="H312">
        <v>2</v>
      </c>
      <c r="I312">
        <v>388.98</v>
      </c>
      <c r="J312" s="4">
        <f t="shared" si="16"/>
        <v>777.96</v>
      </c>
      <c r="K312">
        <f t="shared" si="17"/>
        <v>70.016400000000004</v>
      </c>
      <c r="L312">
        <f t="shared" si="18"/>
        <v>70.016400000000004</v>
      </c>
      <c r="M312">
        <f t="shared" si="19"/>
        <v>918</v>
      </c>
    </row>
    <row r="313" spans="1:13" x14ac:dyDescent="0.25">
      <c r="A313" s="4">
        <v>878</v>
      </c>
      <c r="B313" s="3">
        <v>46003</v>
      </c>
      <c r="C313" t="s">
        <v>115</v>
      </c>
      <c r="D313" t="s">
        <v>119</v>
      </c>
      <c r="E313" t="s">
        <v>452</v>
      </c>
      <c r="F313" t="s">
        <v>454</v>
      </c>
      <c r="G313" s="4">
        <v>94054900</v>
      </c>
      <c r="H313">
        <v>2</v>
      </c>
      <c r="I313">
        <v>509.32</v>
      </c>
      <c r="J313" s="4">
        <f t="shared" si="16"/>
        <v>1018.64</v>
      </c>
      <c r="K313">
        <f t="shared" si="17"/>
        <v>91.677599999999998</v>
      </c>
      <c r="L313">
        <f t="shared" si="18"/>
        <v>91.677599999999998</v>
      </c>
      <c r="M313">
        <f t="shared" si="19"/>
        <v>1202</v>
      </c>
    </row>
    <row r="314" spans="1:13" x14ac:dyDescent="0.25">
      <c r="A314" s="4">
        <v>878</v>
      </c>
      <c r="B314" s="3">
        <v>46003</v>
      </c>
      <c r="C314" t="s">
        <v>115</v>
      </c>
      <c r="D314" t="s">
        <v>59</v>
      </c>
      <c r="E314" t="s">
        <v>452</v>
      </c>
      <c r="F314" t="s">
        <v>454</v>
      </c>
      <c r="G314" s="4">
        <v>94054900</v>
      </c>
      <c r="H314">
        <v>40</v>
      </c>
      <c r="I314">
        <v>206.78</v>
      </c>
      <c r="J314" s="4">
        <f t="shared" si="16"/>
        <v>8271.2000000000007</v>
      </c>
      <c r="K314">
        <f t="shared" si="17"/>
        <v>744.40800000000002</v>
      </c>
      <c r="L314">
        <f t="shared" si="18"/>
        <v>744.40800000000002</v>
      </c>
      <c r="M314">
        <f t="shared" si="19"/>
        <v>9760</v>
      </c>
    </row>
    <row r="315" spans="1:13" x14ac:dyDescent="0.25">
      <c r="A315" s="4">
        <v>1249</v>
      </c>
      <c r="B315" s="3">
        <v>46002</v>
      </c>
      <c r="C315" t="s">
        <v>38</v>
      </c>
      <c r="D315" t="s">
        <v>69</v>
      </c>
      <c r="E315" t="s">
        <v>452</v>
      </c>
      <c r="F315" t="s">
        <v>454</v>
      </c>
      <c r="G315" s="4">
        <v>94054900</v>
      </c>
      <c r="H315">
        <v>20</v>
      </c>
      <c r="I315">
        <v>277.12</v>
      </c>
      <c r="J315" s="4">
        <f t="shared" si="16"/>
        <v>5542.4</v>
      </c>
      <c r="K315">
        <f t="shared" si="17"/>
        <v>498.81599999999997</v>
      </c>
      <c r="L315">
        <f t="shared" si="18"/>
        <v>498.81599999999997</v>
      </c>
      <c r="M315">
        <f t="shared" si="19"/>
        <v>6540</v>
      </c>
    </row>
    <row r="316" spans="1:13" x14ac:dyDescent="0.25">
      <c r="A316" s="4">
        <v>1249</v>
      </c>
      <c r="B316" s="3">
        <v>46002</v>
      </c>
      <c r="C316" t="s">
        <v>38</v>
      </c>
      <c r="D316" t="s">
        <v>70</v>
      </c>
      <c r="E316" t="s">
        <v>452</v>
      </c>
      <c r="F316" t="s">
        <v>454</v>
      </c>
      <c r="G316" s="4">
        <v>94054900</v>
      </c>
      <c r="H316">
        <v>100</v>
      </c>
      <c r="I316">
        <v>41.53</v>
      </c>
      <c r="J316" s="4">
        <f t="shared" si="16"/>
        <v>4153</v>
      </c>
      <c r="K316">
        <f t="shared" si="17"/>
        <v>373.77</v>
      </c>
      <c r="L316">
        <f t="shared" si="18"/>
        <v>373.77</v>
      </c>
      <c r="M316">
        <f t="shared" si="19"/>
        <v>4900.5</v>
      </c>
    </row>
    <row r="317" spans="1:13" x14ac:dyDescent="0.25">
      <c r="A317" s="4">
        <v>1249</v>
      </c>
      <c r="B317" s="3">
        <v>46002</v>
      </c>
      <c r="C317" t="s">
        <v>38</v>
      </c>
      <c r="D317" t="s">
        <v>71</v>
      </c>
      <c r="E317" t="s">
        <v>452</v>
      </c>
      <c r="F317" t="s">
        <v>454</v>
      </c>
      <c r="G317" s="4">
        <v>94054900</v>
      </c>
      <c r="H317">
        <v>100</v>
      </c>
      <c r="I317">
        <v>41.53</v>
      </c>
      <c r="J317" s="4">
        <f t="shared" si="16"/>
        <v>4153</v>
      </c>
      <c r="K317">
        <f t="shared" si="17"/>
        <v>373.77</v>
      </c>
      <c r="L317">
        <f t="shared" si="18"/>
        <v>373.77</v>
      </c>
      <c r="M317">
        <f t="shared" si="19"/>
        <v>4900.5</v>
      </c>
    </row>
    <row r="318" spans="1:13" x14ac:dyDescent="0.25">
      <c r="A318" s="4">
        <v>1249</v>
      </c>
      <c r="B318" s="3">
        <v>46002</v>
      </c>
      <c r="C318" t="s">
        <v>38</v>
      </c>
      <c r="D318" t="s">
        <v>13</v>
      </c>
      <c r="E318" t="s">
        <v>452</v>
      </c>
      <c r="F318" t="s">
        <v>454</v>
      </c>
      <c r="G318" s="4">
        <v>94054900</v>
      </c>
      <c r="H318">
        <v>100</v>
      </c>
      <c r="I318">
        <v>72.03</v>
      </c>
      <c r="J318" s="4">
        <f t="shared" si="16"/>
        <v>7203</v>
      </c>
      <c r="K318">
        <f t="shared" si="17"/>
        <v>648.27</v>
      </c>
      <c r="L318">
        <f t="shared" si="18"/>
        <v>648.27</v>
      </c>
      <c r="M318">
        <f t="shared" si="19"/>
        <v>8499.5</v>
      </c>
    </row>
    <row r="319" spans="1:13" x14ac:dyDescent="0.25">
      <c r="A319" s="4">
        <v>1249</v>
      </c>
      <c r="B319" s="3">
        <v>46002</v>
      </c>
      <c r="C319" t="s">
        <v>38</v>
      </c>
      <c r="D319" t="s">
        <v>35</v>
      </c>
      <c r="E319" t="s">
        <v>452</v>
      </c>
      <c r="F319" t="s">
        <v>454</v>
      </c>
      <c r="G319" s="4">
        <v>94054900</v>
      </c>
      <c r="H319">
        <v>100</v>
      </c>
      <c r="I319">
        <v>22.03</v>
      </c>
      <c r="J319" s="4">
        <f t="shared" si="16"/>
        <v>2203</v>
      </c>
      <c r="K319">
        <f t="shared" si="17"/>
        <v>198.26999999999998</v>
      </c>
      <c r="L319">
        <f t="shared" si="18"/>
        <v>198.26999999999998</v>
      </c>
      <c r="M319">
        <f t="shared" si="19"/>
        <v>2599.5</v>
      </c>
    </row>
    <row r="320" spans="1:13" x14ac:dyDescent="0.25">
      <c r="A320" s="4">
        <v>1249</v>
      </c>
      <c r="B320" s="3">
        <v>46002</v>
      </c>
      <c r="C320" t="s">
        <v>38</v>
      </c>
      <c r="D320" t="s">
        <v>43</v>
      </c>
      <c r="E320" t="s">
        <v>452</v>
      </c>
      <c r="F320" t="s">
        <v>454</v>
      </c>
      <c r="G320" s="4">
        <v>94054900</v>
      </c>
      <c r="H320">
        <v>100</v>
      </c>
      <c r="I320">
        <v>22.03</v>
      </c>
      <c r="J320" s="4">
        <f t="shared" si="16"/>
        <v>2203</v>
      </c>
      <c r="K320">
        <f t="shared" si="17"/>
        <v>198.26999999999998</v>
      </c>
      <c r="L320">
        <f t="shared" si="18"/>
        <v>198.26999999999998</v>
      </c>
      <c r="M320">
        <f t="shared" si="19"/>
        <v>2599.5</v>
      </c>
    </row>
    <row r="321" spans="1:13" x14ac:dyDescent="0.25">
      <c r="A321" s="4">
        <v>1249</v>
      </c>
      <c r="B321" s="3">
        <v>46002</v>
      </c>
      <c r="C321" t="s">
        <v>38</v>
      </c>
      <c r="D321" t="s">
        <v>72</v>
      </c>
      <c r="E321" t="s">
        <v>452</v>
      </c>
      <c r="F321" t="s">
        <v>454</v>
      </c>
      <c r="G321" s="4">
        <v>94054900</v>
      </c>
      <c r="H321">
        <v>20</v>
      </c>
      <c r="I321">
        <v>190.68</v>
      </c>
      <c r="J321" s="4">
        <f t="shared" si="16"/>
        <v>3813.6000000000004</v>
      </c>
      <c r="K321">
        <f t="shared" si="17"/>
        <v>343.22400000000005</v>
      </c>
      <c r="L321">
        <f t="shared" si="18"/>
        <v>343.22400000000005</v>
      </c>
      <c r="M321">
        <f t="shared" si="19"/>
        <v>4500</v>
      </c>
    </row>
    <row r="322" spans="1:13" x14ac:dyDescent="0.25">
      <c r="A322" s="4">
        <v>1249</v>
      </c>
      <c r="B322" s="3">
        <v>46002</v>
      </c>
      <c r="C322" t="s">
        <v>38</v>
      </c>
      <c r="D322" t="s">
        <v>73</v>
      </c>
      <c r="E322" t="s">
        <v>452</v>
      </c>
      <c r="F322" t="s">
        <v>454</v>
      </c>
      <c r="G322" s="4">
        <v>94054900</v>
      </c>
      <c r="H322">
        <v>5</v>
      </c>
      <c r="I322">
        <v>483.05</v>
      </c>
      <c r="J322" s="4">
        <f t="shared" si="16"/>
        <v>2415.25</v>
      </c>
      <c r="K322">
        <f t="shared" si="17"/>
        <v>217.3725</v>
      </c>
      <c r="L322">
        <f t="shared" si="18"/>
        <v>217.3725</v>
      </c>
      <c r="M322">
        <f t="shared" si="19"/>
        <v>2850</v>
      </c>
    </row>
    <row r="323" spans="1:13" x14ac:dyDescent="0.25">
      <c r="A323" s="4">
        <v>1249</v>
      </c>
      <c r="B323" s="3">
        <v>46002</v>
      </c>
      <c r="C323" t="s">
        <v>38</v>
      </c>
      <c r="D323" t="s">
        <v>60</v>
      </c>
      <c r="E323" t="s">
        <v>452</v>
      </c>
      <c r="F323" t="s">
        <v>454</v>
      </c>
      <c r="G323" s="4">
        <v>94054900</v>
      </c>
      <c r="H323">
        <v>5</v>
      </c>
      <c r="I323">
        <v>403.39</v>
      </c>
      <c r="J323" s="4">
        <f t="shared" ref="J323:J386" si="20">I323*H323</f>
        <v>2016.9499999999998</v>
      </c>
      <c r="K323">
        <f t="shared" ref="K323:K386" si="21">J323*0.09</f>
        <v>181.52549999999997</v>
      </c>
      <c r="L323">
        <f t="shared" ref="L323:L386" si="22">K323</f>
        <v>181.52549999999997</v>
      </c>
      <c r="M323">
        <f t="shared" ref="M323:M386" si="23">ROUND(J323*1.18,1)</f>
        <v>2380</v>
      </c>
    </row>
    <row r="324" spans="1:13" x14ac:dyDescent="0.25">
      <c r="A324" s="4">
        <v>1249</v>
      </c>
      <c r="B324" s="3">
        <v>46002</v>
      </c>
      <c r="C324" t="s">
        <v>38</v>
      </c>
      <c r="D324" t="s">
        <v>36</v>
      </c>
      <c r="E324" t="s">
        <v>452</v>
      </c>
      <c r="F324" t="s">
        <v>454</v>
      </c>
      <c r="G324" s="4">
        <v>94054900</v>
      </c>
      <c r="H324">
        <v>20</v>
      </c>
      <c r="I324">
        <v>322.88</v>
      </c>
      <c r="J324" s="4">
        <f t="shared" si="20"/>
        <v>6457.6</v>
      </c>
      <c r="K324">
        <f t="shared" si="21"/>
        <v>581.18399999999997</v>
      </c>
      <c r="L324">
        <f t="shared" si="22"/>
        <v>581.18399999999997</v>
      </c>
      <c r="M324">
        <f t="shared" si="23"/>
        <v>7620</v>
      </c>
    </row>
    <row r="325" spans="1:13" x14ac:dyDescent="0.25">
      <c r="A325" s="4">
        <v>1251</v>
      </c>
      <c r="B325" s="3">
        <v>46002</v>
      </c>
      <c r="C325" t="s">
        <v>31</v>
      </c>
      <c r="D325" t="s">
        <v>55</v>
      </c>
      <c r="E325" t="s">
        <v>452</v>
      </c>
      <c r="F325" t="s">
        <v>454</v>
      </c>
      <c r="G325" s="4">
        <v>94054900</v>
      </c>
      <c r="H325">
        <v>4</v>
      </c>
      <c r="I325">
        <v>817.8</v>
      </c>
      <c r="J325" s="4">
        <f t="shared" si="20"/>
        <v>3271.2</v>
      </c>
      <c r="K325">
        <f t="shared" si="21"/>
        <v>294.40799999999996</v>
      </c>
      <c r="L325">
        <f t="shared" si="22"/>
        <v>294.40799999999996</v>
      </c>
      <c r="M325">
        <f t="shared" si="23"/>
        <v>3860</v>
      </c>
    </row>
    <row r="326" spans="1:13" x14ac:dyDescent="0.25">
      <c r="A326" s="4">
        <v>1247</v>
      </c>
      <c r="B326" s="3">
        <v>46000</v>
      </c>
      <c r="C326" t="s">
        <v>25</v>
      </c>
      <c r="D326" t="s">
        <v>35</v>
      </c>
      <c r="E326" t="s">
        <v>452</v>
      </c>
      <c r="F326" t="s">
        <v>454</v>
      </c>
      <c r="G326" s="4">
        <v>94054900</v>
      </c>
      <c r="H326">
        <v>100</v>
      </c>
      <c r="I326">
        <v>22.03</v>
      </c>
      <c r="J326" s="4">
        <f t="shared" si="20"/>
        <v>2203</v>
      </c>
      <c r="K326">
        <f t="shared" si="21"/>
        <v>198.26999999999998</v>
      </c>
      <c r="L326">
        <f t="shared" si="22"/>
        <v>198.26999999999998</v>
      </c>
      <c r="M326">
        <f t="shared" si="23"/>
        <v>2599.5</v>
      </c>
    </row>
    <row r="327" spans="1:13" x14ac:dyDescent="0.25">
      <c r="A327" s="4">
        <v>1247</v>
      </c>
      <c r="B327" s="3">
        <v>46000</v>
      </c>
      <c r="C327" t="s">
        <v>25</v>
      </c>
      <c r="D327" t="s">
        <v>13</v>
      </c>
      <c r="E327" t="s">
        <v>452</v>
      </c>
      <c r="F327" t="s">
        <v>454</v>
      </c>
      <c r="G327" s="4">
        <v>94054900</v>
      </c>
      <c r="H327">
        <v>60</v>
      </c>
      <c r="I327">
        <v>72.03</v>
      </c>
      <c r="J327" s="4">
        <f t="shared" si="20"/>
        <v>4321.8</v>
      </c>
      <c r="K327">
        <f t="shared" si="21"/>
        <v>388.96199999999999</v>
      </c>
      <c r="L327">
        <f t="shared" si="22"/>
        <v>388.96199999999999</v>
      </c>
      <c r="M327">
        <f t="shared" si="23"/>
        <v>5099.7</v>
      </c>
    </row>
    <row r="328" spans="1:13" x14ac:dyDescent="0.25">
      <c r="A328" s="4">
        <v>1248</v>
      </c>
      <c r="B328" s="3">
        <v>46000</v>
      </c>
      <c r="C328" t="s">
        <v>17</v>
      </c>
      <c r="D328" t="s">
        <v>66</v>
      </c>
      <c r="E328" t="s">
        <v>452</v>
      </c>
      <c r="F328" t="s">
        <v>454</v>
      </c>
      <c r="G328" s="4">
        <v>94054900</v>
      </c>
      <c r="H328">
        <v>2</v>
      </c>
      <c r="I328">
        <v>322.88</v>
      </c>
      <c r="J328" s="4">
        <f t="shared" si="20"/>
        <v>645.76</v>
      </c>
      <c r="K328">
        <f t="shared" si="21"/>
        <v>58.118399999999994</v>
      </c>
      <c r="L328">
        <f t="shared" si="22"/>
        <v>58.118399999999994</v>
      </c>
      <c r="M328">
        <f t="shared" si="23"/>
        <v>762</v>
      </c>
    </row>
    <row r="329" spans="1:13" x14ac:dyDescent="0.25">
      <c r="A329" s="4">
        <v>1248</v>
      </c>
      <c r="B329" s="3">
        <v>46000</v>
      </c>
      <c r="C329" t="s">
        <v>17</v>
      </c>
      <c r="D329" t="s">
        <v>67</v>
      </c>
      <c r="E329" t="s">
        <v>452</v>
      </c>
      <c r="F329" t="s">
        <v>454</v>
      </c>
      <c r="G329" s="4">
        <v>94054900</v>
      </c>
      <c r="H329">
        <v>2</v>
      </c>
      <c r="I329">
        <v>265.25</v>
      </c>
      <c r="J329" s="4">
        <f t="shared" si="20"/>
        <v>530.5</v>
      </c>
      <c r="K329">
        <f t="shared" si="21"/>
        <v>47.744999999999997</v>
      </c>
      <c r="L329">
        <f t="shared" si="22"/>
        <v>47.744999999999997</v>
      </c>
      <c r="M329">
        <f t="shared" si="23"/>
        <v>626</v>
      </c>
    </row>
    <row r="330" spans="1:13" x14ac:dyDescent="0.25">
      <c r="A330" s="4">
        <v>1248</v>
      </c>
      <c r="B330" s="3">
        <v>46000</v>
      </c>
      <c r="C330" t="s">
        <v>17</v>
      </c>
      <c r="D330" t="s">
        <v>68</v>
      </c>
      <c r="E330" t="s">
        <v>452</v>
      </c>
      <c r="F330" t="s">
        <v>454</v>
      </c>
      <c r="G330" s="4">
        <v>94054900</v>
      </c>
      <c r="H330">
        <v>2</v>
      </c>
      <c r="I330">
        <v>400</v>
      </c>
      <c r="J330" s="4">
        <f t="shared" si="20"/>
        <v>800</v>
      </c>
      <c r="K330">
        <f t="shared" si="21"/>
        <v>72</v>
      </c>
      <c r="L330">
        <f t="shared" si="22"/>
        <v>72</v>
      </c>
      <c r="M330">
        <f t="shared" si="23"/>
        <v>944</v>
      </c>
    </row>
    <row r="331" spans="1:13" x14ac:dyDescent="0.25">
      <c r="A331" s="4">
        <v>1248</v>
      </c>
      <c r="B331" s="3">
        <v>46000</v>
      </c>
      <c r="C331" t="s">
        <v>17</v>
      </c>
      <c r="D331" t="s">
        <v>54</v>
      </c>
      <c r="E331" t="s">
        <v>452</v>
      </c>
      <c r="F331" t="s">
        <v>454</v>
      </c>
      <c r="G331" s="4">
        <v>94054900</v>
      </c>
      <c r="H331">
        <v>5</v>
      </c>
      <c r="I331">
        <v>114.41</v>
      </c>
      <c r="J331" s="4">
        <f t="shared" si="20"/>
        <v>572.04999999999995</v>
      </c>
      <c r="K331">
        <f t="shared" si="21"/>
        <v>51.484499999999997</v>
      </c>
      <c r="L331">
        <f t="shared" si="22"/>
        <v>51.484499999999997</v>
      </c>
      <c r="M331">
        <f t="shared" si="23"/>
        <v>675</v>
      </c>
    </row>
    <row r="332" spans="1:13" x14ac:dyDescent="0.25">
      <c r="A332" s="4">
        <v>1248</v>
      </c>
      <c r="B332" s="3">
        <v>46000</v>
      </c>
      <c r="C332" t="s">
        <v>17</v>
      </c>
      <c r="D332" t="s">
        <v>64</v>
      </c>
      <c r="E332" t="s">
        <v>452</v>
      </c>
      <c r="F332" t="s">
        <v>454</v>
      </c>
      <c r="G332" s="4">
        <v>94054900</v>
      </c>
      <c r="H332">
        <v>5</v>
      </c>
      <c r="I332">
        <v>154.24</v>
      </c>
      <c r="J332" s="4">
        <f t="shared" si="20"/>
        <v>771.2</v>
      </c>
      <c r="K332">
        <f t="shared" si="21"/>
        <v>69.408000000000001</v>
      </c>
      <c r="L332">
        <f t="shared" si="22"/>
        <v>69.408000000000001</v>
      </c>
      <c r="M332">
        <f t="shared" si="23"/>
        <v>910</v>
      </c>
    </row>
    <row r="333" spans="1:13" x14ac:dyDescent="0.25">
      <c r="A333" s="4">
        <v>1250</v>
      </c>
      <c r="B333" s="3">
        <v>46000</v>
      </c>
      <c r="C333" t="s">
        <v>65</v>
      </c>
      <c r="D333" t="s">
        <v>35</v>
      </c>
      <c r="E333" t="s">
        <v>452</v>
      </c>
      <c r="F333" t="s">
        <v>454</v>
      </c>
      <c r="G333" s="4">
        <v>94054900</v>
      </c>
      <c r="H333">
        <v>100</v>
      </c>
      <c r="I333">
        <v>22.03</v>
      </c>
      <c r="J333" s="4">
        <f t="shared" si="20"/>
        <v>2203</v>
      </c>
      <c r="K333">
        <f t="shared" si="21"/>
        <v>198.26999999999998</v>
      </c>
      <c r="L333">
        <f t="shared" si="22"/>
        <v>198.26999999999998</v>
      </c>
      <c r="M333">
        <f t="shared" si="23"/>
        <v>2599.5</v>
      </c>
    </row>
    <row r="334" spans="1:13" x14ac:dyDescent="0.25">
      <c r="A334" s="4">
        <v>1242</v>
      </c>
      <c r="B334" s="3">
        <v>45987</v>
      </c>
      <c r="C334" t="s">
        <v>38</v>
      </c>
      <c r="D334" t="s">
        <v>63</v>
      </c>
      <c r="E334" t="s">
        <v>452</v>
      </c>
      <c r="F334" t="s">
        <v>454</v>
      </c>
      <c r="G334" s="4">
        <v>94054900</v>
      </c>
      <c r="H334">
        <v>20</v>
      </c>
      <c r="I334">
        <v>146.61000000000001</v>
      </c>
      <c r="J334" s="4">
        <f t="shared" si="20"/>
        <v>2932.2000000000003</v>
      </c>
      <c r="K334">
        <f t="shared" si="21"/>
        <v>263.89800000000002</v>
      </c>
      <c r="L334">
        <f t="shared" si="22"/>
        <v>263.89800000000002</v>
      </c>
      <c r="M334">
        <f t="shared" si="23"/>
        <v>3460</v>
      </c>
    </row>
    <row r="335" spans="1:13" x14ac:dyDescent="0.25">
      <c r="A335" s="4">
        <v>1242</v>
      </c>
      <c r="B335" s="3">
        <v>45987</v>
      </c>
      <c r="C335" t="s">
        <v>38</v>
      </c>
      <c r="D335" t="s">
        <v>32</v>
      </c>
      <c r="E335" t="s">
        <v>452</v>
      </c>
      <c r="F335" t="s">
        <v>454</v>
      </c>
      <c r="G335" s="4">
        <v>94054900</v>
      </c>
      <c r="H335">
        <v>10</v>
      </c>
      <c r="I335">
        <v>474.58</v>
      </c>
      <c r="J335" s="4">
        <f t="shared" si="20"/>
        <v>4745.8</v>
      </c>
      <c r="K335">
        <f t="shared" si="21"/>
        <v>427.12200000000001</v>
      </c>
      <c r="L335">
        <f t="shared" si="22"/>
        <v>427.12200000000001</v>
      </c>
      <c r="M335">
        <f t="shared" si="23"/>
        <v>5600</v>
      </c>
    </row>
    <row r="336" spans="1:13" x14ac:dyDescent="0.25">
      <c r="A336" s="4">
        <v>1242</v>
      </c>
      <c r="B336" s="3">
        <v>45987</v>
      </c>
      <c r="C336" t="s">
        <v>38</v>
      </c>
      <c r="D336" t="s">
        <v>24</v>
      </c>
      <c r="E336" t="s">
        <v>452</v>
      </c>
      <c r="F336" t="s">
        <v>454</v>
      </c>
      <c r="G336" s="4">
        <v>94054900</v>
      </c>
      <c r="H336">
        <v>20</v>
      </c>
      <c r="I336">
        <v>220.34</v>
      </c>
      <c r="J336" s="4">
        <f t="shared" si="20"/>
        <v>4406.8</v>
      </c>
      <c r="K336">
        <f t="shared" si="21"/>
        <v>396.61200000000002</v>
      </c>
      <c r="L336">
        <f t="shared" si="22"/>
        <v>396.61200000000002</v>
      </c>
      <c r="M336">
        <f t="shared" si="23"/>
        <v>5200</v>
      </c>
    </row>
    <row r="337" spans="1:13" x14ac:dyDescent="0.25">
      <c r="A337" s="4">
        <v>1242</v>
      </c>
      <c r="B337" s="3">
        <v>45987</v>
      </c>
      <c r="C337" t="s">
        <v>38</v>
      </c>
      <c r="D337" t="s">
        <v>18</v>
      </c>
      <c r="E337" t="s">
        <v>452</v>
      </c>
      <c r="F337" t="s">
        <v>454</v>
      </c>
      <c r="G337" s="4">
        <v>94054900</v>
      </c>
      <c r="H337">
        <v>20</v>
      </c>
      <c r="I337">
        <v>271.19</v>
      </c>
      <c r="J337" s="4">
        <f t="shared" si="20"/>
        <v>5423.8</v>
      </c>
      <c r="K337">
        <f t="shared" si="21"/>
        <v>488.142</v>
      </c>
      <c r="L337">
        <f t="shared" si="22"/>
        <v>488.142</v>
      </c>
      <c r="M337">
        <f t="shared" si="23"/>
        <v>6400.1</v>
      </c>
    </row>
    <row r="338" spans="1:13" x14ac:dyDescent="0.25">
      <c r="A338" s="4">
        <v>1242</v>
      </c>
      <c r="B338" s="3">
        <v>45987</v>
      </c>
      <c r="C338" t="s">
        <v>38</v>
      </c>
      <c r="D338" t="s">
        <v>64</v>
      </c>
      <c r="E338" t="s">
        <v>452</v>
      </c>
      <c r="F338" t="s">
        <v>454</v>
      </c>
      <c r="G338" s="4">
        <v>94054900</v>
      </c>
      <c r="H338">
        <v>10</v>
      </c>
      <c r="I338">
        <v>150</v>
      </c>
      <c r="J338" s="4">
        <f t="shared" si="20"/>
        <v>1500</v>
      </c>
      <c r="K338">
        <f t="shared" si="21"/>
        <v>135</v>
      </c>
      <c r="L338">
        <f t="shared" si="22"/>
        <v>135</v>
      </c>
      <c r="M338">
        <f t="shared" si="23"/>
        <v>1770</v>
      </c>
    </row>
    <row r="339" spans="1:13" x14ac:dyDescent="0.25">
      <c r="A339" s="4">
        <v>874</v>
      </c>
      <c r="B339" s="3">
        <v>45976</v>
      </c>
      <c r="C339" t="s">
        <v>115</v>
      </c>
      <c r="D339" t="s">
        <v>64</v>
      </c>
      <c r="E339" t="s">
        <v>452</v>
      </c>
      <c r="F339" t="s">
        <v>454</v>
      </c>
      <c r="G339" s="4">
        <v>94054900</v>
      </c>
      <c r="H339" s="4">
        <v>40</v>
      </c>
      <c r="I339" s="4">
        <v>150</v>
      </c>
      <c r="J339" s="4">
        <f t="shared" si="20"/>
        <v>6000</v>
      </c>
      <c r="K339">
        <f t="shared" si="21"/>
        <v>540</v>
      </c>
      <c r="L339">
        <f t="shared" si="22"/>
        <v>540</v>
      </c>
      <c r="M339">
        <f t="shared" si="23"/>
        <v>7080</v>
      </c>
    </row>
    <row r="340" spans="1:13" x14ac:dyDescent="0.25">
      <c r="A340" s="4">
        <v>874</v>
      </c>
      <c r="B340" s="3">
        <v>45976</v>
      </c>
      <c r="C340" t="s">
        <v>115</v>
      </c>
      <c r="D340" t="s">
        <v>54</v>
      </c>
      <c r="E340" t="s">
        <v>452</v>
      </c>
      <c r="F340" t="s">
        <v>454</v>
      </c>
      <c r="G340" s="4">
        <v>94054900</v>
      </c>
      <c r="H340" s="4">
        <v>50</v>
      </c>
      <c r="I340" s="4">
        <v>111.01</v>
      </c>
      <c r="J340" s="4">
        <f t="shared" si="20"/>
        <v>5550.5</v>
      </c>
      <c r="K340">
        <f t="shared" si="21"/>
        <v>499.54499999999996</v>
      </c>
      <c r="L340">
        <f t="shared" si="22"/>
        <v>499.54499999999996</v>
      </c>
      <c r="M340">
        <f t="shared" si="23"/>
        <v>6549.6</v>
      </c>
    </row>
    <row r="341" spans="1:13" x14ac:dyDescent="0.25">
      <c r="A341" s="4">
        <v>874</v>
      </c>
      <c r="B341" s="3">
        <v>45976</v>
      </c>
      <c r="C341" t="s">
        <v>115</v>
      </c>
      <c r="D341" t="s">
        <v>58</v>
      </c>
      <c r="E341" t="s">
        <v>452</v>
      </c>
      <c r="F341" t="s">
        <v>454</v>
      </c>
      <c r="G341" s="4">
        <v>94054900</v>
      </c>
      <c r="H341" s="4">
        <v>40</v>
      </c>
      <c r="I341" s="4">
        <v>169.49</v>
      </c>
      <c r="J341" s="4">
        <f t="shared" si="20"/>
        <v>6779.6</v>
      </c>
      <c r="K341">
        <f t="shared" si="21"/>
        <v>610.16399999999999</v>
      </c>
      <c r="L341">
        <f t="shared" si="22"/>
        <v>610.16399999999999</v>
      </c>
      <c r="M341">
        <f t="shared" si="23"/>
        <v>7999.9</v>
      </c>
    </row>
    <row r="342" spans="1:13" x14ac:dyDescent="0.25">
      <c r="A342" s="4">
        <v>874</v>
      </c>
      <c r="B342" s="3">
        <v>45976</v>
      </c>
      <c r="C342" t="s">
        <v>115</v>
      </c>
      <c r="D342" t="s">
        <v>116</v>
      </c>
      <c r="E342" t="s">
        <v>452</v>
      </c>
      <c r="F342" t="s">
        <v>454</v>
      </c>
      <c r="G342" s="4">
        <v>94054900</v>
      </c>
      <c r="H342" s="4">
        <v>40</v>
      </c>
      <c r="I342" s="4">
        <v>146.61000000000001</v>
      </c>
      <c r="J342" s="4">
        <f t="shared" si="20"/>
        <v>5864.4000000000005</v>
      </c>
      <c r="K342">
        <f t="shared" si="21"/>
        <v>527.79600000000005</v>
      </c>
      <c r="L342">
        <f t="shared" si="22"/>
        <v>527.79600000000005</v>
      </c>
      <c r="M342">
        <f t="shared" si="23"/>
        <v>6920</v>
      </c>
    </row>
    <row r="343" spans="1:13" x14ac:dyDescent="0.25">
      <c r="A343" s="4">
        <v>874</v>
      </c>
      <c r="B343" s="3">
        <v>45976</v>
      </c>
      <c r="C343" t="s">
        <v>115</v>
      </c>
      <c r="D343" t="s">
        <v>117</v>
      </c>
      <c r="E343" t="s">
        <v>452</v>
      </c>
      <c r="F343" t="s">
        <v>454</v>
      </c>
      <c r="G343" s="4">
        <v>94054900</v>
      </c>
      <c r="H343" s="4">
        <v>40</v>
      </c>
      <c r="I343" s="4">
        <v>70.33</v>
      </c>
      <c r="J343" s="4">
        <f t="shared" si="20"/>
        <v>2813.2</v>
      </c>
      <c r="K343">
        <f t="shared" si="21"/>
        <v>253.18799999999999</v>
      </c>
      <c r="L343">
        <f t="shared" si="22"/>
        <v>253.18799999999999</v>
      </c>
      <c r="M343">
        <f t="shared" si="23"/>
        <v>3319.6</v>
      </c>
    </row>
    <row r="344" spans="1:13" x14ac:dyDescent="0.25">
      <c r="A344" s="4">
        <v>874</v>
      </c>
      <c r="B344" s="3">
        <v>45976</v>
      </c>
      <c r="C344" t="s">
        <v>115</v>
      </c>
      <c r="D344" t="s">
        <v>11</v>
      </c>
      <c r="E344" t="s">
        <v>452</v>
      </c>
      <c r="F344" t="s">
        <v>454</v>
      </c>
      <c r="G344" s="4">
        <v>94054900</v>
      </c>
      <c r="H344" s="4">
        <v>60</v>
      </c>
      <c r="I344" s="4">
        <v>43.22</v>
      </c>
      <c r="J344" s="4">
        <f t="shared" si="20"/>
        <v>2593.1999999999998</v>
      </c>
      <c r="K344">
        <f t="shared" si="21"/>
        <v>233.38799999999998</v>
      </c>
      <c r="L344">
        <f t="shared" si="22"/>
        <v>233.38799999999998</v>
      </c>
      <c r="M344">
        <f t="shared" si="23"/>
        <v>3060</v>
      </c>
    </row>
    <row r="345" spans="1:13" x14ac:dyDescent="0.25">
      <c r="A345" s="4">
        <v>1245</v>
      </c>
      <c r="B345" s="3">
        <v>45971</v>
      </c>
      <c r="C345" t="s">
        <v>65</v>
      </c>
      <c r="D345" t="s">
        <v>44</v>
      </c>
      <c r="E345" t="s">
        <v>452</v>
      </c>
      <c r="F345" t="s">
        <v>454</v>
      </c>
      <c r="G345" s="4">
        <v>94054900</v>
      </c>
      <c r="H345">
        <v>10</v>
      </c>
      <c r="I345">
        <v>186.44</v>
      </c>
      <c r="J345" s="4">
        <f t="shared" si="20"/>
        <v>1864.4</v>
      </c>
      <c r="K345">
        <f t="shared" si="21"/>
        <v>167.79599999999999</v>
      </c>
      <c r="L345">
        <f t="shared" si="22"/>
        <v>167.79599999999999</v>
      </c>
      <c r="M345">
        <f t="shared" si="23"/>
        <v>2200</v>
      </c>
    </row>
    <row r="346" spans="1:13" x14ac:dyDescent="0.25">
      <c r="A346" s="4">
        <v>1245</v>
      </c>
      <c r="B346" s="3">
        <v>45971</v>
      </c>
      <c r="C346" t="s">
        <v>65</v>
      </c>
      <c r="D346" t="s">
        <v>50</v>
      </c>
      <c r="E346" t="s">
        <v>452</v>
      </c>
      <c r="F346" t="s">
        <v>453</v>
      </c>
      <c r="G346" s="4">
        <v>84145120</v>
      </c>
      <c r="H346">
        <v>1</v>
      </c>
      <c r="I346">
        <v>1144.07</v>
      </c>
      <c r="J346" s="4">
        <f t="shared" si="20"/>
        <v>1144.07</v>
      </c>
      <c r="K346">
        <f t="shared" si="21"/>
        <v>102.96629999999999</v>
      </c>
      <c r="L346">
        <f t="shared" si="22"/>
        <v>102.96629999999999</v>
      </c>
      <c r="M346">
        <f t="shared" si="23"/>
        <v>1350</v>
      </c>
    </row>
    <row r="347" spans="1:13" x14ac:dyDescent="0.25">
      <c r="A347" s="4">
        <v>1244</v>
      </c>
      <c r="B347" s="3">
        <v>45970</v>
      </c>
      <c r="C347" t="s">
        <v>31</v>
      </c>
      <c r="D347" t="s">
        <v>32</v>
      </c>
      <c r="E347" t="s">
        <v>452</v>
      </c>
      <c r="F347" t="s">
        <v>454</v>
      </c>
      <c r="G347" s="4">
        <v>94054900</v>
      </c>
      <c r="H347">
        <v>5</v>
      </c>
      <c r="I347">
        <v>474.58</v>
      </c>
      <c r="J347" s="4">
        <f t="shared" si="20"/>
        <v>2372.9</v>
      </c>
      <c r="K347">
        <f t="shared" si="21"/>
        <v>213.56100000000001</v>
      </c>
      <c r="L347">
        <f t="shared" si="22"/>
        <v>213.56100000000001</v>
      </c>
      <c r="M347">
        <f t="shared" si="23"/>
        <v>2800</v>
      </c>
    </row>
    <row r="348" spans="1:13" x14ac:dyDescent="0.25">
      <c r="A348" s="4">
        <v>1240</v>
      </c>
      <c r="B348" s="3">
        <v>45969</v>
      </c>
      <c r="C348" t="s">
        <v>22</v>
      </c>
      <c r="D348" t="s">
        <v>24</v>
      </c>
      <c r="E348" t="s">
        <v>452</v>
      </c>
      <c r="F348" t="s">
        <v>454</v>
      </c>
      <c r="G348" s="4">
        <v>94054900</v>
      </c>
      <c r="H348" s="4">
        <v>4</v>
      </c>
      <c r="I348" s="4">
        <v>218.64</v>
      </c>
      <c r="J348" s="4">
        <f t="shared" si="20"/>
        <v>874.56</v>
      </c>
      <c r="K348">
        <f t="shared" si="21"/>
        <v>78.710399999999993</v>
      </c>
      <c r="L348">
        <f t="shared" si="22"/>
        <v>78.710399999999993</v>
      </c>
      <c r="M348">
        <f t="shared" si="23"/>
        <v>1032</v>
      </c>
    </row>
    <row r="349" spans="1:13" x14ac:dyDescent="0.25">
      <c r="A349" s="4">
        <v>1240</v>
      </c>
      <c r="B349" s="3">
        <v>45969</v>
      </c>
      <c r="C349" t="s">
        <v>22</v>
      </c>
      <c r="D349" t="s">
        <v>18</v>
      </c>
      <c r="E349" t="s">
        <v>452</v>
      </c>
      <c r="F349" t="s">
        <v>454</v>
      </c>
      <c r="G349" s="4">
        <v>94054900</v>
      </c>
      <c r="H349" s="4">
        <v>2</v>
      </c>
      <c r="I349" s="4">
        <v>268.64</v>
      </c>
      <c r="J349" s="4">
        <f t="shared" si="20"/>
        <v>537.28</v>
      </c>
      <c r="K349">
        <f t="shared" si="21"/>
        <v>48.355199999999996</v>
      </c>
      <c r="L349">
        <f t="shared" si="22"/>
        <v>48.355199999999996</v>
      </c>
      <c r="M349">
        <f t="shared" si="23"/>
        <v>634</v>
      </c>
    </row>
    <row r="350" spans="1:13" x14ac:dyDescent="0.25">
      <c r="A350" s="4">
        <v>1240</v>
      </c>
      <c r="B350" s="3">
        <v>45969</v>
      </c>
      <c r="C350" t="s">
        <v>22</v>
      </c>
      <c r="D350" t="s">
        <v>36</v>
      </c>
      <c r="E350" t="s">
        <v>452</v>
      </c>
      <c r="F350" t="s">
        <v>454</v>
      </c>
      <c r="G350" s="4">
        <v>94054900</v>
      </c>
      <c r="H350" s="4">
        <v>2</v>
      </c>
      <c r="I350" s="4">
        <v>313.56</v>
      </c>
      <c r="J350" s="4">
        <f t="shared" si="20"/>
        <v>627.12</v>
      </c>
      <c r="K350">
        <f t="shared" si="21"/>
        <v>56.440799999999996</v>
      </c>
      <c r="L350">
        <f t="shared" si="22"/>
        <v>56.440799999999996</v>
      </c>
      <c r="M350">
        <f t="shared" si="23"/>
        <v>740</v>
      </c>
    </row>
    <row r="351" spans="1:13" x14ac:dyDescent="0.25">
      <c r="A351" s="4">
        <v>1240</v>
      </c>
      <c r="B351" s="3">
        <v>45969</v>
      </c>
      <c r="C351" t="s">
        <v>22</v>
      </c>
      <c r="D351" t="s">
        <v>47</v>
      </c>
      <c r="E351" t="s">
        <v>452</v>
      </c>
      <c r="F351" t="s">
        <v>454</v>
      </c>
      <c r="G351" s="4">
        <v>94054900</v>
      </c>
      <c r="H351" s="4">
        <v>5</v>
      </c>
      <c r="I351" s="4">
        <v>177.97</v>
      </c>
      <c r="J351" s="4">
        <f t="shared" si="20"/>
        <v>889.85</v>
      </c>
      <c r="K351">
        <f t="shared" si="21"/>
        <v>80.086500000000001</v>
      </c>
      <c r="L351">
        <f t="shared" si="22"/>
        <v>80.086500000000001</v>
      </c>
      <c r="M351">
        <f t="shared" si="23"/>
        <v>1050</v>
      </c>
    </row>
    <row r="352" spans="1:13" x14ac:dyDescent="0.25">
      <c r="A352" s="4">
        <v>1240</v>
      </c>
      <c r="B352" s="3">
        <v>45969</v>
      </c>
      <c r="C352" t="s">
        <v>22</v>
      </c>
      <c r="D352" t="s">
        <v>23</v>
      </c>
      <c r="E352" t="s">
        <v>452</v>
      </c>
      <c r="F352" t="s">
        <v>454</v>
      </c>
      <c r="G352" s="4">
        <v>94054900</v>
      </c>
      <c r="H352" s="4">
        <v>8</v>
      </c>
      <c r="I352" s="4">
        <v>383.05</v>
      </c>
      <c r="J352" s="4">
        <f t="shared" si="20"/>
        <v>3064.4</v>
      </c>
      <c r="K352">
        <f t="shared" si="21"/>
        <v>275.79599999999999</v>
      </c>
      <c r="L352">
        <f t="shared" si="22"/>
        <v>275.79599999999999</v>
      </c>
      <c r="M352">
        <f t="shared" si="23"/>
        <v>3616</v>
      </c>
    </row>
    <row r="353" spans="1:13" x14ac:dyDescent="0.25">
      <c r="A353" s="4">
        <v>1240</v>
      </c>
      <c r="B353" s="3">
        <v>45969</v>
      </c>
      <c r="C353" t="s">
        <v>22</v>
      </c>
      <c r="D353" t="s">
        <v>61</v>
      </c>
      <c r="E353" t="s">
        <v>452</v>
      </c>
      <c r="F353" t="s">
        <v>454</v>
      </c>
      <c r="G353" s="4">
        <v>94054900</v>
      </c>
      <c r="H353" s="4">
        <v>4</v>
      </c>
      <c r="I353" s="4">
        <v>216.1</v>
      </c>
      <c r="J353" s="4">
        <f t="shared" si="20"/>
        <v>864.4</v>
      </c>
      <c r="K353">
        <f t="shared" si="21"/>
        <v>77.795999999999992</v>
      </c>
      <c r="L353">
        <f t="shared" si="22"/>
        <v>77.795999999999992</v>
      </c>
      <c r="M353">
        <f t="shared" si="23"/>
        <v>1020</v>
      </c>
    </row>
    <row r="354" spans="1:13" x14ac:dyDescent="0.25">
      <c r="A354" s="4">
        <v>1240</v>
      </c>
      <c r="B354" s="3">
        <v>45969</v>
      </c>
      <c r="C354" t="s">
        <v>22</v>
      </c>
      <c r="D354" t="s">
        <v>62</v>
      </c>
      <c r="E354" t="s">
        <v>452</v>
      </c>
      <c r="F354" t="s">
        <v>454</v>
      </c>
      <c r="G354" s="4">
        <v>94054900</v>
      </c>
      <c r="H354" s="4">
        <v>4</v>
      </c>
      <c r="I354" s="4">
        <v>263.56</v>
      </c>
      <c r="J354" s="4">
        <f t="shared" si="20"/>
        <v>1054.24</v>
      </c>
      <c r="K354">
        <f t="shared" si="21"/>
        <v>94.881599999999992</v>
      </c>
      <c r="L354">
        <f t="shared" si="22"/>
        <v>94.881599999999992</v>
      </c>
      <c r="M354">
        <f t="shared" si="23"/>
        <v>1244</v>
      </c>
    </row>
    <row r="355" spans="1:13" x14ac:dyDescent="0.25">
      <c r="A355" s="4">
        <v>1240</v>
      </c>
      <c r="B355" s="3">
        <v>45969</v>
      </c>
      <c r="C355" t="s">
        <v>22</v>
      </c>
      <c r="D355" t="s">
        <v>32</v>
      </c>
      <c r="E355" t="s">
        <v>452</v>
      </c>
      <c r="F355" t="s">
        <v>454</v>
      </c>
      <c r="G355" s="4">
        <v>94054900</v>
      </c>
      <c r="H355" s="4">
        <v>2</v>
      </c>
      <c r="I355" s="4">
        <v>474.58</v>
      </c>
      <c r="J355" s="4">
        <f t="shared" si="20"/>
        <v>949.16</v>
      </c>
      <c r="K355">
        <f t="shared" si="21"/>
        <v>85.424399999999991</v>
      </c>
      <c r="L355">
        <f t="shared" si="22"/>
        <v>85.424399999999991</v>
      </c>
      <c r="M355">
        <f t="shared" si="23"/>
        <v>1120</v>
      </c>
    </row>
    <row r="356" spans="1:13" x14ac:dyDescent="0.25">
      <c r="A356" s="4">
        <v>1239</v>
      </c>
      <c r="B356" s="3">
        <v>45966</v>
      </c>
      <c r="C356" t="s">
        <v>31</v>
      </c>
      <c r="D356" t="s">
        <v>60</v>
      </c>
      <c r="E356" t="s">
        <v>452</v>
      </c>
      <c r="F356" t="s">
        <v>454</v>
      </c>
      <c r="G356" s="4">
        <v>94054900</v>
      </c>
      <c r="H356">
        <v>5</v>
      </c>
      <c r="I356">
        <v>406.78</v>
      </c>
      <c r="J356" s="4">
        <f t="shared" si="20"/>
        <v>2033.8999999999999</v>
      </c>
      <c r="K356">
        <f t="shared" si="21"/>
        <v>183.05099999999999</v>
      </c>
      <c r="L356">
        <f t="shared" si="22"/>
        <v>183.05099999999999</v>
      </c>
      <c r="M356">
        <f t="shared" si="23"/>
        <v>2400</v>
      </c>
    </row>
    <row r="357" spans="1:13" x14ac:dyDescent="0.25">
      <c r="A357" s="4">
        <v>1236</v>
      </c>
      <c r="B357" s="3">
        <v>45964</v>
      </c>
      <c r="C357" t="s">
        <v>20</v>
      </c>
      <c r="D357" t="s">
        <v>59</v>
      </c>
      <c r="E357" t="s">
        <v>452</v>
      </c>
      <c r="F357" t="s">
        <v>454</v>
      </c>
      <c r="G357" s="4">
        <v>94054900</v>
      </c>
      <c r="H357">
        <v>40</v>
      </c>
      <c r="I357">
        <v>211.86</v>
      </c>
      <c r="J357" s="4">
        <f t="shared" si="20"/>
        <v>8474.4000000000015</v>
      </c>
      <c r="K357">
        <f t="shared" si="21"/>
        <v>762.69600000000014</v>
      </c>
      <c r="L357">
        <f t="shared" si="22"/>
        <v>762.69600000000014</v>
      </c>
      <c r="M357">
        <f t="shared" si="23"/>
        <v>9999.7999999999993</v>
      </c>
    </row>
    <row r="358" spans="1:13" x14ac:dyDescent="0.25">
      <c r="A358" s="4">
        <v>873</v>
      </c>
      <c r="B358" s="3">
        <v>45964</v>
      </c>
      <c r="C358" t="s">
        <v>114</v>
      </c>
      <c r="D358" t="s">
        <v>26</v>
      </c>
      <c r="E358" t="s">
        <v>452</v>
      </c>
      <c r="F358" t="s">
        <v>454</v>
      </c>
      <c r="G358" s="4">
        <v>94054900</v>
      </c>
      <c r="H358">
        <v>30</v>
      </c>
      <c r="I358">
        <v>47.37</v>
      </c>
      <c r="J358" s="4">
        <f t="shared" si="20"/>
        <v>1421.1</v>
      </c>
      <c r="K358">
        <f t="shared" si="21"/>
        <v>127.89899999999999</v>
      </c>
      <c r="L358">
        <f t="shared" si="22"/>
        <v>127.89899999999999</v>
      </c>
      <c r="M358">
        <f t="shared" si="23"/>
        <v>1676.9</v>
      </c>
    </row>
    <row r="359" spans="1:13" x14ac:dyDescent="0.25">
      <c r="A359" s="4">
        <v>873</v>
      </c>
      <c r="B359" s="3">
        <v>45964</v>
      </c>
      <c r="C359" t="s">
        <v>114</v>
      </c>
      <c r="D359" t="s">
        <v>16</v>
      </c>
      <c r="E359" t="s">
        <v>452</v>
      </c>
      <c r="F359" t="s">
        <v>454</v>
      </c>
      <c r="G359" s="4">
        <v>94054900</v>
      </c>
      <c r="H359">
        <v>10</v>
      </c>
      <c r="I359">
        <v>184.74</v>
      </c>
      <c r="J359" s="4">
        <f t="shared" si="20"/>
        <v>1847.4</v>
      </c>
      <c r="K359">
        <f t="shared" si="21"/>
        <v>166.26599999999999</v>
      </c>
      <c r="L359">
        <f t="shared" si="22"/>
        <v>166.26599999999999</v>
      </c>
      <c r="M359">
        <f t="shared" si="23"/>
        <v>2179.9</v>
      </c>
    </row>
    <row r="360" spans="1:13" x14ac:dyDescent="0.25">
      <c r="A360" s="4">
        <v>873</v>
      </c>
      <c r="B360" s="3">
        <v>45964</v>
      </c>
      <c r="C360" t="s">
        <v>114</v>
      </c>
      <c r="D360" t="s">
        <v>47</v>
      </c>
      <c r="E360" t="s">
        <v>452</v>
      </c>
      <c r="F360" t="s">
        <v>454</v>
      </c>
      <c r="G360" s="4">
        <v>94054900</v>
      </c>
      <c r="H360">
        <v>10</v>
      </c>
      <c r="I360">
        <v>177.96</v>
      </c>
      <c r="J360" s="4">
        <f t="shared" si="20"/>
        <v>1779.6000000000001</v>
      </c>
      <c r="K360">
        <f t="shared" si="21"/>
        <v>160.16400000000002</v>
      </c>
      <c r="L360">
        <f t="shared" si="22"/>
        <v>160.16400000000002</v>
      </c>
      <c r="M360">
        <f t="shared" si="23"/>
        <v>2099.9</v>
      </c>
    </row>
    <row r="361" spans="1:13" x14ac:dyDescent="0.25">
      <c r="A361" s="4">
        <v>1233</v>
      </c>
      <c r="B361" s="3">
        <v>45963</v>
      </c>
      <c r="C361" t="s">
        <v>51</v>
      </c>
      <c r="D361" t="s">
        <v>35</v>
      </c>
      <c r="E361" t="s">
        <v>452</v>
      </c>
      <c r="F361" t="s">
        <v>454</v>
      </c>
      <c r="G361" s="4">
        <v>94054900</v>
      </c>
      <c r="H361">
        <v>500</v>
      </c>
      <c r="I361">
        <v>18.64</v>
      </c>
      <c r="J361" s="4">
        <f t="shared" si="20"/>
        <v>9320</v>
      </c>
      <c r="K361">
        <f t="shared" si="21"/>
        <v>838.8</v>
      </c>
      <c r="L361">
        <f t="shared" si="22"/>
        <v>838.8</v>
      </c>
      <c r="M361">
        <f t="shared" si="23"/>
        <v>10997.6</v>
      </c>
    </row>
    <row r="362" spans="1:13" x14ac:dyDescent="0.25">
      <c r="A362" s="4">
        <v>1233</v>
      </c>
      <c r="B362" s="3">
        <v>45963</v>
      </c>
      <c r="C362" t="s">
        <v>51</v>
      </c>
      <c r="D362" t="s">
        <v>24</v>
      </c>
      <c r="E362" t="s">
        <v>452</v>
      </c>
      <c r="F362" t="s">
        <v>454</v>
      </c>
      <c r="G362" s="4">
        <v>94054900</v>
      </c>
      <c r="H362">
        <v>10</v>
      </c>
      <c r="I362">
        <v>220.34</v>
      </c>
      <c r="J362" s="4">
        <f t="shared" si="20"/>
        <v>2203.4</v>
      </c>
      <c r="K362">
        <f t="shared" si="21"/>
        <v>198.30600000000001</v>
      </c>
      <c r="L362">
        <f t="shared" si="22"/>
        <v>198.30600000000001</v>
      </c>
      <c r="M362">
        <f t="shared" si="23"/>
        <v>2600</v>
      </c>
    </row>
    <row r="363" spans="1:13" x14ac:dyDescent="0.25">
      <c r="A363" s="4">
        <v>1233</v>
      </c>
      <c r="B363" s="3">
        <v>45963</v>
      </c>
      <c r="C363" t="s">
        <v>51</v>
      </c>
      <c r="D363" t="s">
        <v>18</v>
      </c>
      <c r="E363" t="s">
        <v>452</v>
      </c>
      <c r="F363" t="s">
        <v>454</v>
      </c>
      <c r="G363" s="4">
        <v>94054900</v>
      </c>
      <c r="H363">
        <v>10</v>
      </c>
      <c r="I363">
        <v>271.19</v>
      </c>
      <c r="J363" s="4">
        <f t="shared" si="20"/>
        <v>2711.9</v>
      </c>
      <c r="K363">
        <f t="shared" si="21"/>
        <v>244.071</v>
      </c>
      <c r="L363">
        <f t="shared" si="22"/>
        <v>244.071</v>
      </c>
      <c r="M363">
        <f t="shared" si="23"/>
        <v>3200</v>
      </c>
    </row>
    <row r="364" spans="1:13" x14ac:dyDescent="0.25">
      <c r="A364" s="4">
        <v>1233</v>
      </c>
      <c r="B364" s="3">
        <v>45963</v>
      </c>
      <c r="C364" t="s">
        <v>51</v>
      </c>
      <c r="D364" t="s">
        <v>16</v>
      </c>
      <c r="E364" t="s">
        <v>452</v>
      </c>
      <c r="F364" t="s">
        <v>454</v>
      </c>
      <c r="G364" s="4">
        <v>94054900</v>
      </c>
      <c r="H364">
        <v>17</v>
      </c>
      <c r="I364">
        <v>169.49</v>
      </c>
      <c r="J364" s="4">
        <f t="shared" si="20"/>
        <v>2881.33</v>
      </c>
      <c r="K364">
        <f t="shared" si="21"/>
        <v>259.31970000000001</v>
      </c>
      <c r="L364">
        <f t="shared" si="22"/>
        <v>259.31970000000001</v>
      </c>
      <c r="M364">
        <f t="shared" si="23"/>
        <v>3400</v>
      </c>
    </row>
    <row r="365" spans="1:13" x14ac:dyDescent="0.25">
      <c r="A365" s="4">
        <v>1234</v>
      </c>
      <c r="B365" s="3">
        <v>45963</v>
      </c>
      <c r="C365" t="s">
        <v>38</v>
      </c>
      <c r="D365" t="s">
        <v>52</v>
      </c>
      <c r="E365" t="s">
        <v>452</v>
      </c>
      <c r="F365" t="s">
        <v>454</v>
      </c>
      <c r="G365" s="4">
        <v>94054900</v>
      </c>
      <c r="H365">
        <v>20</v>
      </c>
      <c r="I365">
        <v>218.64</v>
      </c>
      <c r="J365" s="4">
        <f t="shared" si="20"/>
        <v>4372.7999999999993</v>
      </c>
      <c r="K365">
        <f t="shared" si="21"/>
        <v>393.55199999999991</v>
      </c>
      <c r="L365">
        <f t="shared" si="22"/>
        <v>393.55199999999991</v>
      </c>
      <c r="M365">
        <f t="shared" si="23"/>
        <v>5159.8999999999996</v>
      </c>
    </row>
    <row r="366" spans="1:13" x14ac:dyDescent="0.25">
      <c r="A366" s="4">
        <v>1234</v>
      </c>
      <c r="B366" s="3">
        <v>45963</v>
      </c>
      <c r="C366" t="s">
        <v>38</v>
      </c>
      <c r="D366" t="s">
        <v>53</v>
      </c>
      <c r="E366" t="s">
        <v>452</v>
      </c>
      <c r="F366" t="s">
        <v>454</v>
      </c>
      <c r="G366" s="4">
        <v>94054900</v>
      </c>
      <c r="H366">
        <v>20</v>
      </c>
      <c r="I366">
        <v>233.9</v>
      </c>
      <c r="J366" s="4">
        <f t="shared" si="20"/>
        <v>4678</v>
      </c>
      <c r="K366">
        <f t="shared" si="21"/>
        <v>421.02</v>
      </c>
      <c r="L366">
        <f t="shared" si="22"/>
        <v>421.02</v>
      </c>
      <c r="M366">
        <f t="shared" si="23"/>
        <v>5520</v>
      </c>
    </row>
    <row r="367" spans="1:13" x14ac:dyDescent="0.25">
      <c r="A367" s="4">
        <v>1234</v>
      </c>
      <c r="B367" s="3">
        <v>45963</v>
      </c>
      <c r="C367" t="s">
        <v>38</v>
      </c>
      <c r="D367" t="s">
        <v>54</v>
      </c>
      <c r="E367" t="s">
        <v>452</v>
      </c>
      <c r="F367" t="s">
        <v>454</v>
      </c>
      <c r="G367" s="4">
        <v>94054900</v>
      </c>
      <c r="H367">
        <v>10</v>
      </c>
      <c r="I367">
        <v>111.02</v>
      </c>
      <c r="J367" s="4">
        <f t="shared" si="20"/>
        <v>1110.2</v>
      </c>
      <c r="K367">
        <f t="shared" si="21"/>
        <v>99.918000000000006</v>
      </c>
      <c r="L367">
        <f t="shared" si="22"/>
        <v>99.918000000000006</v>
      </c>
      <c r="M367">
        <f t="shared" si="23"/>
        <v>1310</v>
      </c>
    </row>
    <row r="368" spans="1:13" x14ac:dyDescent="0.25">
      <c r="A368" s="4">
        <v>1234</v>
      </c>
      <c r="B368" s="3">
        <v>45963</v>
      </c>
      <c r="C368" t="s">
        <v>38</v>
      </c>
      <c r="D368" t="s">
        <v>55</v>
      </c>
      <c r="E368" t="s">
        <v>452</v>
      </c>
      <c r="F368" t="s">
        <v>454</v>
      </c>
      <c r="G368" s="4">
        <v>94054900</v>
      </c>
      <c r="H368">
        <v>5</v>
      </c>
      <c r="I368">
        <v>817.8</v>
      </c>
      <c r="J368" s="4">
        <f t="shared" si="20"/>
        <v>4089</v>
      </c>
      <c r="K368">
        <f t="shared" si="21"/>
        <v>368.01</v>
      </c>
      <c r="L368">
        <f t="shared" si="22"/>
        <v>368.01</v>
      </c>
      <c r="M368">
        <f t="shared" si="23"/>
        <v>4825</v>
      </c>
    </row>
    <row r="369" spans="1:13" x14ac:dyDescent="0.25">
      <c r="A369" s="4">
        <v>1234</v>
      </c>
      <c r="B369" s="3">
        <v>45963</v>
      </c>
      <c r="C369" t="s">
        <v>38</v>
      </c>
      <c r="D369" t="s">
        <v>56</v>
      </c>
      <c r="E369" t="s">
        <v>452</v>
      </c>
      <c r="F369" t="s">
        <v>454</v>
      </c>
      <c r="G369" s="4">
        <v>94054900</v>
      </c>
      <c r="H369">
        <v>20</v>
      </c>
      <c r="I369">
        <v>148.31</v>
      </c>
      <c r="J369" s="4">
        <f t="shared" si="20"/>
        <v>2966.2</v>
      </c>
      <c r="K369">
        <f t="shared" si="21"/>
        <v>266.95799999999997</v>
      </c>
      <c r="L369">
        <f t="shared" si="22"/>
        <v>266.95799999999997</v>
      </c>
      <c r="M369">
        <f t="shared" si="23"/>
        <v>3500.1</v>
      </c>
    </row>
    <row r="370" spans="1:13" x14ac:dyDescent="0.25">
      <c r="A370" s="4">
        <v>1234</v>
      </c>
      <c r="B370" s="3">
        <v>45963</v>
      </c>
      <c r="C370" t="s">
        <v>38</v>
      </c>
      <c r="D370" t="s">
        <v>57</v>
      </c>
      <c r="E370" t="s">
        <v>452</v>
      </c>
      <c r="F370" t="s">
        <v>454</v>
      </c>
      <c r="G370" s="4">
        <v>94054900</v>
      </c>
      <c r="H370">
        <v>20</v>
      </c>
      <c r="I370">
        <v>99.15</v>
      </c>
      <c r="J370" s="4">
        <f t="shared" si="20"/>
        <v>1983</v>
      </c>
      <c r="K370">
        <f t="shared" si="21"/>
        <v>178.47</v>
      </c>
      <c r="L370">
        <f t="shared" si="22"/>
        <v>178.47</v>
      </c>
      <c r="M370">
        <f t="shared" si="23"/>
        <v>2339.9</v>
      </c>
    </row>
    <row r="371" spans="1:13" x14ac:dyDescent="0.25">
      <c r="A371" s="4">
        <v>1234</v>
      </c>
      <c r="B371" s="3">
        <v>45963</v>
      </c>
      <c r="C371" t="s">
        <v>38</v>
      </c>
      <c r="D371" t="s">
        <v>58</v>
      </c>
      <c r="E371" t="s">
        <v>452</v>
      </c>
      <c r="F371" t="s">
        <v>454</v>
      </c>
      <c r="G371" s="4">
        <v>94054900</v>
      </c>
      <c r="H371">
        <v>20</v>
      </c>
      <c r="I371">
        <v>169.49</v>
      </c>
      <c r="J371" s="4">
        <f t="shared" si="20"/>
        <v>3389.8</v>
      </c>
      <c r="K371">
        <f t="shared" si="21"/>
        <v>305.08199999999999</v>
      </c>
      <c r="L371">
        <f t="shared" si="22"/>
        <v>305.08199999999999</v>
      </c>
      <c r="M371">
        <f t="shared" si="23"/>
        <v>4000</v>
      </c>
    </row>
    <row r="372" spans="1:13" x14ac:dyDescent="0.25">
      <c r="A372" s="4">
        <v>1234</v>
      </c>
      <c r="B372" s="3">
        <v>45963</v>
      </c>
      <c r="C372" t="s">
        <v>38</v>
      </c>
      <c r="D372" t="s">
        <v>13</v>
      </c>
      <c r="E372" t="s">
        <v>452</v>
      </c>
      <c r="F372" t="s">
        <v>454</v>
      </c>
      <c r="G372" s="4">
        <v>94054900</v>
      </c>
      <c r="H372">
        <v>40</v>
      </c>
      <c r="I372">
        <v>72.03</v>
      </c>
      <c r="J372" s="4">
        <f t="shared" si="20"/>
        <v>2881.2</v>
      </c>
      <c r="K372">
        <f t="shared" si="21"/>
        <v>259.30799999999999</v>
      </c>
      <c r="L372">
        <f t="shared" si="22"/>
        <v>259.30799999999999</v>
      </c>
      <c r="M372">
        <f t="shared" si="23"/>
        <v>3399.8</v>
      </c>
    </row>
    <row r="373" spans="1:13" x14ac:dyDescent="0.25">
      <c r="A373" s="4">
        <v>1234</v>
      </c>
      <c r="B373" s="3">
        <v>45963</v>
      </c>
      <c r="C373" t="s">
        <v>38</v>
      </c>
      <c r="D373" t="s">
        <v>18</v>
      </c>
      <c r="E373" t="s">
        <v>452</v>
      </c>
      <c r="F373" t="s">
        <v>454</v>
      </c>
      <c r="G373" s="4">
        <v>94054900</v>
      </c>
      <c r="H373">
        <v>20</v>
      </c>
      <c r="I373">
        <v>268.64</v>
      </c>
      <c r="J373" s="4">
        <f t="shared" si="20"/>
        <v>5372.7999999999993</v>
      </c>
      <c r="K373">
        <f t="shared" si="21"/>
        <v>483.55199999999991</v>
      </c>
      <c r="L373">
        <f t="shared" si="22"/>
        <v>483.55199999999991</v>
      </c>
      <c r="M373">
        <f t="shared" si="23"/>
        <v>6339.9</v>
      </c>
    </row>
    <row r="374" spans="1:13" x14ac:dyDescent="0.25">
      <c r="A374" s="4">
        <v>1234</v>
      </c>
      <c r="B374" s="3">
        <v>45963</v>
      </c>
      <c r="C374" t="s">
        <v>38</v>
      </c>
      <c r="D374" t="s">
        <v>36</v>
      </c>
      <c r="E374" t="s">
        <v>452</v>
      </c>
      <c r="F374" t="s">
        <v>454</v>
      </c>
      <c r="G374" s="4">
        <v>94054900</v>
      </c>
      <c r="H374">
        <v>20</v>
      </c>
      <c r="I374">
        <v>313.56</v>
      </c>
      <c r="J374" s="4">
        <f t="shared" si="20"/>
        <v>6271.2</v>
      </c>
      <c r="K374">
        <f t="shared" si="21"/>
        <v>564.40800000000002</v>
      </c>
      <c r="L374">
        <f t="shared" si="22"/>
        <v>564.40800000000002</v>
      </c>
      <c r="M374">
        <f t="shared" si="23"/>
        <v>7400</v>
      </c>
    </row>
    <row r="375" spans="1:13" x14ac:dyDescent="0.25">
      <c r="A375" s="4">
        <v>1235</v>
      </c>
      <c r="B375" s="3">
        <v>45963</v>
      </c>
      <c r="C375" t="s">
        <v>28</v>
      </c>
      <c r="D375" t="s">
        <v>35</v>
      </c>
      <c r="E375" t="s">
        <v>452</v>
      </c>
      <c r="F375" t="s">
        <v>454</v>
      </c>
      <c r="G375" s="4">
        <v>94054900</v>
      </c>
      <c r="H375" s="4">
        <v>100</v>
      </c>
      <c r="I375" s="4">
        <v>22.03</v>
      </c>
      <c r="J375" s="4">
        <f t="shared" si="20"/>
        <v>2203</v>
      </c>
      <c r="K375">
        <f t="shared" si="21"/>
        <v>198.26999999999998</v>
      </c>
      <c r="L375">
        <f t="shared" si="22"/>
        <v>198.26999999999998</v>
      </c>
      <c r="M375">
        <f t="shared" si="23"/>
        <v>2599.5</v>
      </c>
    </row>
    <row r="376" spans="1:13" x14ac:dyDescent="0.25">
      <c r="A376" s="4">
        <v>1235</v>
      </c>
      <c r="B376" s="3">
        <v>45963</v>
      </c>
      <c r="C376" t="s">
        <v>28</v>
      </c>
      <c r="D376" t="s">
        <v>13</v>
      </c>
      <c r="E376" t="s">
        <v>452</v>
      </c>
      <c r="F376" t="s">
        <v>454</v>
      </c>
      <c r="G376" s="4">
        <v>94054900</v>
      </c>
      <c r="H376" s="4">
        <v>20</v>
      </c>
      <c r="I376" s="4">
        <v>72.03</v>
      </c>
      <c r="J376" s="4">
        <f t="shared" si="20"/>
        <v>1440.6</v>
      </c>
      <c r="K376">
        <f t="shared" si="21"/>
        <v>129.654</v>
      </c>
      <c r="L376">
        <f t="shared" si="22"/>
        <v>129.654</v>
      </c>
      <c r="M376">
        <f t="shared" si="23"/>
        <v>1699.9</v>
      </c>
    </row>
    <row r="377" spans="1:13" x14ac:dyDescent="0.25">
      <c r="A377" s="4">
        <v>1235</v>
      </c>
      <c r="B377" s="3">
        <v>45963</v>
      </c>
      <c r="C377" t="s">
        <v>28</v>
      </c>
      <c r="D377" t="s">
        <v>59</v>
      </c>
      <c r="E377" t="s">
        <v>452</v>
      </c>
      <c r="F377" t="s">
        <v>454</v>
      </c>
      <c r="G377" s="4">
        <v>94054900</v>
      </c>
      <c r="H377" s="4">
        <v>20</v>
      </c>
      <c r="I377" s="4">
        <v>211.86</v>
      </c>
      <c r="J377" s="4">
        <f t="shared" si="20"/>
        <v>4237.2000000000007</v>
      </c>
      <c r="K377">
        <f t="shared" si="21"/>
        <v>381.34800000000007</v>
      </c>
      <c r="L377">
        <f t="shared" si="22"/>
        <v>381.34800000000007</v>
      </c>
      <c r="M377">
        <f t="shared" si="23"/>
        <v>4999.8999999999996</v>
      </c>
    </row>
    <row r="378" spans="1:13" x14ac:dyDescent="0.25">
      <c r="A378" s="4">
        <v>1226</v>
      </c>
      <c r="B378" s="3">
        <v>45950</v>
      </c>
      <c r="C378" t="s">
        <v>45</v>
      </c>
      <c r="D378" t="s">
        <v>46</v>
      </c>
      <c r="E378" t="s">
        <v>452</v>
      </c>
      <c r="F378" t="s">
        <v>454</v>
      </c>
      <c r="G378" s="4">
        <v>94054900</v>
      </c>
      <c r="H378">
        <v>3</v>
      </c>
      <c r="I378">
        <v>0</v>
      </c>
      <c r="J378" s="4">
        <f t="shared" si="20"/>
        <v>0</v>
      </c>
      <c r="K378">
        <f t="shared" si="21"/>
        <v>0</v>
      </c>
      <c r="L378">
        <f t="shared" si="22"/>
        <v>0</v>
      </c>
      <c r="M378">
        <f t="shared" si="23"/>
        <v>0</v>
      </c>
    </row>
    <row r="379" spans="1:13" x14ac:dyDescent="0.25">
      <c r="A379" s="4">
        <v>1226</v>
      </c>
      <c r="B379" s="3">
        <v>45950</v>
      </c>
      <c r="C379" t="s">
        <v>45</v>
      </c>
      <c r="D379" t="s">
        <v>16</v>
      </c>
      <c r="E379" t="s">
        <v>452</v>
      </c>
      <c r="F379" t="s">
        <v>454</v>
      </c>
      <c r="G379" s="4">
        <v>94054900</v>
      </c>
      <c r="H379">
        <v>2</v>
      </c>
      <c r="I379">
        <v>0</v>
      </c>
      <c r="J379" s="4">
        <f t="shared" si="20"/>
        <v>0</v>
      </c>
      <c r="K379">
        <f t="shared" si="21"/>
        <v>0</v>
      </c>
      <c r="L379">
        <f t="shared" si="22"/>
        <v>0</v>
      </c>
      <c r="M379">
        <f t="shared" si="23"/>
        <v>0</v>
      </c>
    </row>
    <row r="380" spans="1:13" x14ac:dyDescent="0.25">
      <c r="A380" s="4">
        <v>1226</v>
      </c>
      <c r="B380" s="3">
        <v>45950</v>
      </c>
      <c r="C380" t="s">
        <v>45</v>
      </c>
      <c r="D380" t="s">
        <v>47</v>
      </c>
      <c r="E380" t="s">
        <v>452</v>
      </c>
      <c r="F380" t="s">
        <v>454</v>
      </c>
      <c r="G380" s="4">
        <v>94054900</v>
      </c>
      <c r="H380">
        <v>1</v>
      </c>
      <c r="I380">
        <v>0</v>
      </c>
      <c r="J380" s="4">
        <f t="shared" si="20"/>
        <v>0</v>
      </c>
      <c r="K380">
        <f t="shared" si="21"/>
        <v>0</v>
      </c>
      <c r="L380">
        <f t="shared" si="22"/>
        <v>0</v>
      </c>
      <c r="M380">
        <f t="shared" si="23"/>
        <v>0</v>
      </c>
    </row>
    <row r="381" spans="1:13" x14ac:dyDescent="0.25">
      <c r="A381" s="4">
        <v>1230</v>
      </c>
      <c r="B381" s="3">
        <v>45950</v>
      </c>
      <c r="C381" t="s">
        <v>12</v>
      </c>
      <c r="D381" t="s">
        <v>18</v>
      </c>
      <c r="E381" t="s">
        <v>452</v>
      </c>
      <c r="F381" t="s">
        <v>454</v>
      </c>
      <c r="G381" s="4">
        <v>94054900</v>
      </c>
      <c r="H381">
        <v>10</v>
      </c>
      <c r="I381">
        <v>296.61</v>
      </c>
      <c r="J381" s="4">
        <f t="shared" si="20"/>
        <v>2966.1000000000004</v>
      </c>
      <c r="K381">
        <f t="shared" si="21"/>
        <v>266.94900000000001</v>
      </c>
      <c r="L381">
        <f t="shared" si="22"/>
        <v>266.94900000000001</v>
      </c>
      <c r="M381">
        <f t="shared" si="23"/>
        <v>3500</v>
      </c>
    </row>
    <row r="382" spans="1:13" x14ac:dyDescent="0.25">
      <c r="A382" s="4">
        <v>1230</v>
      </c>
      <c r="B382" s="3">
        <v>45950</v>
      </c>
      <c r="C382" t="s">
        <v>12</v>
      </c>
      <c r="D382" t="s">
        <v>15</v>
      </c>
      <c r="E382" t="s">
        <v>452</v>
      </c>
      <c r="F382" t="s">
        <v>454</v>
      </c>
      <c r="G382" s="4">
        <v>94054900</v>
      </c>
      <c r="H382">
        <v>10</v>
      </c>
      <c r="I382">
        <v>127.12</v>
      </c>
      <c r="J382" s="4">
        <f t="shared" si="20"/>
        <v>1271.2</v>
      </c>
      <c r="K382">
        <f t="shared" si="21"/>
        <v>114.408</v>
      </c>
      <c r="L382">
        <f t="shared" si="22"/>
        <v>114.408</v>
      </c>
      <c r="M382">
        <f t="shared" si="23"/>
        <v>1500</v>
      </c>
    </row>
    <row r="383" spans="1:13" x14ac:dyDescent="0.25">
      <c r="A383" s="4">
        <v>1231</v>
      </c>
      <c r="B383" s="3">
        <v>45950</v>
      </c>
      <c r="C383" t="s">
        <v>38</v>
      </c>
      <c r="D383" t="s">
        <v>50</v>
      </c>
      <c r="E383" t="s">
        <v>452</v>
      </c>
      <c r="F383" t="s">
        <v>453</v>
      </c>
      <c r="G383" s="4">
        <v>84145120</v>
      </c>
      <c r="H383">
        <v>1</v>
      </c>
      <c r="I383">
        <v>1144.07</v>
      </c>
      <c r="J383" s="4">
        <f t="shared" si="20"/>
        <v>1144.07</v>
      </c>
      <c r="K383">
        <f t="shared" si="21"/>
        <v>102.96629999999999</v>
      </c>
      <c r="L383">
        <f t="shared" si="22"/>
        <v>102.96629999999999</v>
      </c>
      <c r="M383">
        <f t="shared" si="23"/>
        <v>1350</v>
      </c>
    </row>
    <row r="384" spans="1:13" x14ac:dyDescent="0.25">
      <c r="A384" s="4">
        <v>1232</v>
      </c>
      <c r="B384" s="3">
        <v>45950</v>
      </c>
      <c r="C384" t="s">
        <v>25</v>
      </c>
      <c r="D384" t="s">
        <v>19</v>
      </c>
      <c r="E384" t="s">
        <v>452</v>
      </c>
      <c r="F384" t="s">
        <v>454</v>
      </c>
      <c r="G384" s="4">
        <v>94054900</v>
      </c>
      <c r="H384">
        <v>9</v>
      </c>
      <c r="I384">
        <v>110.17</v>
      </c>
      <c r="J384" s="4">
        <f t="shared" si="20"/>
        <v>991.53</v>
      </c>
      <c r="K384">
        <f t="shared" si="21"/>
        <v>89.23769999999999</v>
      </c>
      <c r="L384">
        <f t="shared" si="22"/>
        <v>89.23769999999999</v>
      </c>
      <c r="M384">
        <f t="shared" si="23"/>
        <v>1170</v>
      </c>
    </row>
    <row r="385" spans="1:13" x14ac:dyDescent="0.25">
      <c r="A385" s="4">
        <v>1228</v>
      </c>
      <c r="B385" s="3">
        <v>45947</v>
      </c>
      <c r="C385" t="s">
        <v>49</v>
      </c>
      <c r="D385" t="s">
        <v>19</v>
      </c>
      <c r="E385" t="s">
        <v>452</v>
      </c>
      <c r="F385" t="s">
        <v>454</v>
      </c>
      <c r="G385" s="4">
        <v>94054900</v>
      </c>
      <c r="H385">
        <v>10</v>
      </c>
      <c r="I385">
        <v>110.17</v>
      </c>
      <c r="J385" s="4">
        <f t="shared" si="20"/>
        <v>1101.7</v>
      </c>
      <c r="K385">
        <f t="shared" si="21"/>
        <v>99.153000000000006</v>
      </c>
      <c r="L385">
        <f t="shared" si="22"/>
        <v>99.153000000000006</v>
      </c>
      <c r="M385">
        <f t="shared" si="23"/>
        <v>1300</v>
      </c>
    </row>
    <row r="386" spans="1:13" x14ac:dyDescent="0.25">
      <c r="A386" s="4">
        <v>1229</v>
      </c>
      <c r="B386" s="3">
        <v>45947</v>
      </c>
      <c r="C386" t="s">
        <v>17</v>
      </c>
      <c r="D386" t="s">
        <v>36</v>
      </c>
      <c r="E386" t="s">
        <v>452</v>
      </c>
      <c r="F386" t="s">
        <v>454</v>
      </c>
      <c r="G386" s="4">
        <v>94054900</v>
      </c>
      <c r="H386">
        <v>5</v>
      </c>
      <c r="I386">
        <v>313.56</v>
      </c>
      <c r="J386" s="4">
        <f t="shared" si="20"/>
        <v>1567.8</v>
      </c>
      <c r="K386">
        <f t="shared" si="21"/>
        <v>141.102</v>
      </c>
      <c r="L386">
        <f t="shared" si="22"/>
        <v>141.102</v>
      </c>
      <c r="M386">
        <f t="shared" si="23"/>
        <v>1850</v>
      </c>
    </row>
    <row r="387" spans="1:13" x14ac:dyDescent="0.25">
      <c r="A387" s="4">
        <v>1219</v>
      </c>
      <c r="B387" s="3">
        <v>45946</v>
      </c>
      <c r="C387" t="s">
        <v>38</v>
      </c>
      <c r="D387" t="s">
        <v>13</v>
      </c>
      <c r="E387" t="s">
        <v>452</v>
      </c>
      <c r="F387" t="s">
        <v>454</v>
      </c>
      <c r="G387" s="4">
        <v>94054900</v>
      </c>
      <c r="H387" s="4">
        <v>40</v>
      </c>
      <c r="I387" s="4">
        <v>72.03</v>
      </c>
      <c r="J387" s="4">
        <f t="shared" ref="J387:J450" si="24">I387*H387</f>
        <v>2881.2</v>
      </c>
      <c r="K387">
        <f t="shared" ref="K387:K450" si="25">J387*0.09</f>
        <v>259.30799999999999</v>
      </c>
      <c r="L387">
        <f t="shared" ref="L387:L450" si="26">K387</f>
        <v>259.30799999999999</v>
      </c>
      <c r="M387">
        <f t="shared" ref="M387:M450" si="27">ROUND(J387*1.18,1)</f>
        <v>3399.8</v>
      </c>
    </row>
    <row r="388" spans="1:13" x14ac:dyDescent="0.25">
      <c r="A388" s="4">
        <v>1220</v>
      </c>
      <c r="B388" s="3">
        <v>45946</v>
      </c>
      <c r="C388" t="s">
        <v>39</v>
      </c>
      <c r="D388" t="s">
        <v>40</v>
      </c>
      <c r="E388" t="s">
        <v>452</v>
      </c>
      <c r="F388" t="s">
        <v>453</v>
      </c>
      <c r="G388" s="4">
        <v>84145120</v>
      </c>
      <c r="H388" s="4">
        <v>3</v>
      </c>
      <c r="I388" s="4">
        <v>1144.07</v>
      </c>
      <c r="J388" s="4">
        <f t="shared" si="24"/>
        <v>3432.21</v>
      </c>
      <c r="K388">
        <f t="shared" si="25"/>
        <v>308.89889999999997</v>
      </c>
      <c r="L388">
        <f t="shared" si="26"/>
        <v>308.89889999999997</v>
      </c>
      <c r="M388">
        <f t="shared" si="27"/>
        <v>4050</v>
      </c>
    </row>
    <row r="389" spans="1:13" x14ac:dyDescent="0.25">
      <c r="A389" s="4">
        <v>1221</v>
      </c>
      <c r="B389" s="3">
        <v>45946</v>
      </c>
      <c r="C389" t="s">
        <v>41</v>
      </c>
      <c r="D389" t="s">
        <v>33</v>
      </c>
      <c r="E389" t="s">
        <v>452</v>
      </c>
      <c r="F389" t="s">
        <v>453</v>
      </c>
      <c r="G389" s="4">
        <v>84145120</v>
      </c>
      <c r="H389" s="4">
        <v>2</v>
      </c>
      <c r="I389" s="4">
        <v>1906.78</v>
      </c>
      <c r="J389" s="4">
        <f t="shared" si="24"/>
        <v>3813.56</v>
      </c>
      <c r="K389">
        <f t="shared" si="25"/>
        <v>343.22039999999998</v>
      </c>
      <c r="L389">
        <f t="shared" si="26"/>
        <v>343.22039999999998</v>
      </c>
      <c r="M389">
        <f t="shared" si="27"/>
        <v>4500</v>
      </c>
    </row>
    <row r="390" spans="1:13" x14ac:dyDescent="0.25">
      <c r="A390" s="4">
        <v>1222</v>
      </c>
      <c r="B390" s="3">
        <v>45946</v>
      </c>
      <c r="C390" t="s">
        <v>42</v>
      </c>
      <c r="D390" t="s">
        <v>32</v>
      </c>
      <c r="E390" t="s">
        <v>452</v>
      </c>
      <c r="F390" t="s">
        <v>454</v>
      </c>
      <c r="G390" s="4">
        <v>94054900</v>
      </c>
      <c r="H390">
        <v>14</v>
      </c>
      <c r="I390">
        <v>508.47</v>
      </c>
      <c r="J390" s="4">
        <f t="shared" si="24"/>
        <v>7118.58</v>
      </c>
      <c r="K390">
        <f t="shared" si="25"/>
        <v>640.67219999999998</v>
      </c>
      <c r="L390">
        <f t="shared" si="26"/>
        <v>640.67219999999998</v>
      </c>
      <c r="M390">
        <f t="shared" si="27"/>
        <v>8399.9</v>
      </c>
    </row>
    <row r="391" spans="1:13" x14ac:dyDescent="0.25">
      <c r="A391" s="4">
        <v>1223</v>
      </c>
      <c r="B391" s="3">
        <v>45946</v>
      </c>
      <c r="C391" t="s">
        <v>20</v>
      </c>
      <c r="D391" t="s">
        <v>15</v>
      </c>
      <c r="E391" t="s">
        <v>452</v>
      </c>
      <c r="F391" t="s">
        <v>454</v>
      </c>
      <c r="G391" s="4">
        <v>94054900</v>
      </c>
      <c r="H391">
        <v>15</v>
      </c>
      <c r="I391">
        <v>106.78</v>
      </c>
      <c r="J391" s="4">
        <f t="shared" si="24"/>
        <v>1601.7</v>
      </c>
      <c r="K391">
        <f t="shared" si="25"/>
        <v>144.15299999999999</v>
      </c>
      <c r="L391">
        <f t="shared" si="26"/>
        <v>144.15299999999999</v>
      </c>
      <c r="M391">
        <f t="shared" si="27"/>
        <v>1890</v>
      </c>
    </row>
    <row r="392" spans="1:13" x14ac:dyDescent="0.25">
      <c r="A392" s="4">
        <v>1223</v>
      </c>
      <c r="B392" s="3">
        <v>45946</v>
      </c>
      <c r="C392" t="s">
        <v>20</v>
      </c>
      <c r="D392" t="s">
        <v>18</v>
      </c>
      <c r="E392" t="s">
        <v>452</v>
      </c>
      <c r="F392" t="s">
        <v>454</v>
      </c>
      <c r="G392" s="4">
        <v>94054900</v>
      </c>
      <c r="H392">
        <v>10</v>
      </c>
      <c r="I392">
        <v>271.19</v>
      </c>
      <c r="J392" s="4">
        <f t="shared" si="24"/>
        <v>2711.9</v>
      </c>
      <c r="K392">
        <f t="shared" si="25"/>
        <v>244.071</v>
      </c>
      <c r="L392">
        <f t="shared" si="26"/>
        <v>244.071</v>
      </c>
      <c r="M392">
        <f t="shared" si="27"/>
        <v>3200</v>
      </c>
    </row>
    <row r="393" spans="1:13" x14ac:dyDescent="0.25">
      <c r="A393" s="4">
        <v>1224</v>
      </c>
      <c r="B393" s="3">
        <v>45946</v>
      </c>
      <c r="C393" t="s">
        <v>17</v>
      </c>
      <c r="D393" t="s">
        <v>18</v>
      </c>
      <c r="E393" t="s">
        <v>452</v>
      </c>
      <c r="F393" t="s">
        <v>454</v>
      </c>
      <c r="G393" s="4">
        <v>94054900</v>
      </c>
      <c r="H393" s="4">
        <v>2</v>
      </c>
      <c r="I393" s="4">
        <v>268.64</v>
      </c>
      <c r="J393" s="4">
        <f t="shared" si="24"/>
        <v>537.28</v>
      </c>
      <c r="K393">
        <f t="shared" si="25"/>
        <v>48.355199999999996</v>
      </c>
      <c r="L393">
        <f t="shared" si="26"/>
        <v>48.355199999999996</v>
      </c>
      <c r="M393">
        <f t="shared" si="27"/>
        <v>634</v>
      </c>
    </row>
    <row r="394" spans="1:13" x14ac:dyDescent="0.25">
      <c r="A394" s="4">
        <v>1225</v>
      </c>
      <c r="B394" s="3">
        <v>45946</v>
      </c>
      <c r="C394" t="s">
        <v>22</v>
      </c>
      <c r="D394" t="s">
        <v>43</v>
      </c>
      <c r="E394" t="s">
        <v>452</v>
      </c>
      <c r="F394" t="s">
        <v>454</v>
      </c>
      <c r="G394" s="4">
        <v>94054900</v>
      </c>
      <c r="H394">
        <v>100</v>
      </c>
      <c r="I394">
        <v>22.03</v>
      </c>
      <c r="J394" s="4">
        <f t="shared" si="24"/>
        <v>2203</v>
      </c>
      <c r="K394">
        <f t="shared" si="25"/>
        <v>198.26999999999998</v>
      </c>
      <c r="L394">
        <f t="shared" si="26"/>
        <v>198.26999999999998</v>
      </c>
      <c r="M394">
        <f t="shared" si="27"/>
        <v>2599.5</v>
      </c>
    </row>
    <row r="395" spans="1:13" x14ac:dyDescent="0.25">
      <c r="A395" s="4">
        <v>1225</v>
      </c>
      <c r="B395" s="3">
        <v>45946</v>
      </c>
      <c r="C395" t="s">
        <v>22</v>
      </c>
      <c r="D395" t="s">
        <v>44</v>
      </c>
      <c r="E395" t="s">
        <v>452</v>
      </c>
      <c r="F395" t="s">
        <v>454</v>
      </c>
      <c r="G395" s="4">
        <v>94054900</v>
      </c>
      <c r="H395">
        <v>5</v>
      </c>
      <c r="I395">
        <v>186.44</v>
      </c>
      <c r="J395" s="4">
        <f t="shared" si="24"/>
        <v>932.2</v>
      </c>
      <c r="K395">
        <f t="shared" si="25"/>
        <v>83.897999999999996</v>
      </c>
      <c r="L395">
        <f t="shared" si="26"/>
        <v>83.897999999999996</v>
      </c>
      <c r="M395">
        <f t="shared" si="27"/>
        <v>1100</v>
      </c>
    </row>
    <row r="396" spans="1:13" x14ac:dyDescent="0.25">
      <c r="A396" s="4">
        <v>1227</v>
      </c>
      <c r="B396" s="3">
        <v>45946</v>
      </c>
      <c r="C396" t="s">
        <v>29</v>
      </c>
      <c r="D396" t="s">
        <v>48</v>
      </c>
      <c r="E396" t="s">
        <v>452</v>
      </c>
      <c r="F396" t="s">
        <v>454</v>
      </c>
      <c r="G396" s="4">
        <v>94054900</v>
      </c>
      <c r="H396">
        <v>4</v>
      </c>
      <c r="I396">
        <v>2040.25</v>
      </c>
      <c r="J396" s="4">
        <f t="shared" si="24"/>
        <v>8161</v>
      </c>
      <c r="K396">
        <f t="shared" si="25"/>
        <v>734.49</v>
      </c>
      <c r="L396">
        <f t="shared" si="26"/>
        <v>734.49</v>
      </c>
      <c r="M396">
        <f t="shared" si="27"/>
        <v>9630</v>
      </c>
    </row>
    <row r="397" spans="1:13" x14ac:dyDescent="0.25">
      <c r="A397" s="4">
        <v>1246</v>
      </c>
      <c r="B397" s="3">
        <v>45946</v>
      </c>
      <c r="C397" t="s">
        <v>42</v>
      </c>
      <c r="D397" t="s">
        <v>35</v>
      </c>
      <c r="E397" t="s">
        <v>452</v>
      </c>
      <c r="F397" t="s">
        <v>454</v>
      </c>
      <c r="G397" s="4">
        <v>94054900</v>
      </c>
      <c r="H397" s="4">
        <v>100</v>
      </c>
      <c r="I397" s="4">
        <v>22.03</v>
      </c>
      <c r="J397" s="4">
        <f t="shared" si="24"/>
        <v>2203</v>
      </c>
      <c r="K397">
        <f t="shared" si="25"/>
        <v>198.26999999999998</v>
      </c>
      <c r="L397">
        <f t="shared" si="26"/>
        <v>198.26999999999998</v>
      </c>
      <c r="M397">
        <f t="shared" si="27"/>
        <v>2599.5</v>
      </c>
    </row>
    <row r="398" spans="1:13" x14ac:dyDescent="0.25">
      <c r="A398" s="4">
        <v>1246</v>
      </c>
      <c r="B398" s="3">
        <v>45946</v>
      </c>
      <c r="C398" t="s">
        <v>42</v>
      </c>
      <c r="D398" t="s">
        <v>44</v>
      </c>
      <c r="E398" t="s">
        <v>452</v>
      </c>
      <c r="F398" t="s">
        <v>454</v>
      </c>
      <c r="G398" s="4">
        <v>94054900</v>
      </c>
      <c r="H398" s="4">
        <v>5</v>
      </c>
      <c r="I398" s="4">
        <v>194.92</v>
      </c>
      <c r="J398" s="4">
        <f t="shared" si="24"/>
        <v>974.59999999999991</v>
      </c>
      <c r="K398">
        <f t="shared" si="25"/>
        <v>87.713999999999984</v>
      </c>
      <c r="L398">
        <f t="shared" si="26"/>
        <v>87.713999999999984</v>
      </c>
      <c r="M398">
        <f t="shared" si="27"/>
        <v>1150</v>
      </c>
    </row>
    <row r="399" spans="1:13" x14ac:dyDescent="0.25">
      <c r="A399" s="4">
        <v>1246</v>
      </c>
      <c r="B399" s="3">
        <v>45946</v>
      </c>
      <c r="C399" t="s">
        <v>42</v>
      </c>
      <c r="D399" t="s">
        <v>24</v>
      </c>
      <c r="E399" t="s">
        <v>452</v>
      </c>
      <c r="F399" t="s">
        <v>454</v>
      </c>
      <c r="G399" s="4">
        <v>94054900</v>
      </c>
      <c r="H399" s="4">
        <v>6</v>
      </c>
      <c r="I399" s="4">
        <v>228.81</v>
      </c>
      <c r="J399" s="4">
        <f t="shared" si="24"/>
        <v>1372.8600000000001</v>
      </c>
      <c r="K399">
        <f t="shared" si="25"/>
        <v>123.5574</v>
      </c>
      <c r="L399">
        <f t="shared" si="26"/>
        <v>123.5574</v>
      </c>
      <c r="M399">
        <f t="shared" si="27"/>
        <v>1620</v>
      </c>
    </row>
    <row r="400" spans="1:13" x14ac:dyDescent="0.25">
      <c r="A400" s="4">
        <v>1246</v>
      </c>
      <c r="B400" s="3">
        <v>45946</v>
      </c>
      <c r="C400" t="s">
        <v>42</v>
      </c>
      <c r="D400" t="s">
        <v>18</v>
      </c>
      <c r="E400" t="s">
        <v>452</v>
      </c>
      <c r="F400" t="s">
        <v>454</v>
      </c>
      <c r="G400" s="4">
        <v>94054900</v>
      </c>
      <c r="H400" s="4">
        <v>7</v>
      </c>
      <c r="I400" s="4">
        <v>278.45</v>
      </c>
      <c r="J400" s="4">
        <f t="shared" si="24"/>
        <v>1949.1499999999999</v>
      </c>
      <c r="K400">
        <f t="shared" si="25"/>
        <v>175.42349999999999</v>
      </c>
      <c r="L400">
        <f t="shared" si="26"/>
        <v>175.42349999999999</v>
      </c>
      <c r="M400">
        <f t="shared" si="27"/>
        <v>2300</v>
      </c>
    </row>
    <row r="401" spans="1:13" x14ac:dyDescent="0.25">
      <c r="A401" s="4">
        <v>1246</v>
      </c>
      <c r="B401" s="3">
        <v>45946</v>
      </c>
      <c r="C401" t="s">
        <v>42</v>
      </c>
      <c r="D401" t="s">
        <v>36</v>
      </c>
      <c r="E401" t="s">
        <v>452</v>
      </c>
      <c r="F401" t="s">
        <v>454</v>
      </c>
      <c r="G401" s="4">
        <v>94054900</v>
      </c>
      <c r="H401" s="4">
        <v>7</v>
      </c>
      <c r="I401" s="4">
        <v>330.51</v>
      </c>
      <c r="J401" s="4">
        <f t="shared" si="24"/>
        <v>2313.5699999999997</v>
      </c>
      <c r="K401">
        <f t="shared" si="25"/>
        <v>208.22129999999996</v>
      </c>
      <c r="L401">
        <f t="shared" si="26"/>
        <v>208.22129999999996</v>
      </c>
      <c r="M401">
        <f t="shared" si="27"/>
        <v>2730</v>
      </c>
    </row>
    <row r="402" spans="1:13" x14ac:dyDescent="0.25">
      <c r="A402" s="4">
        <v>1246</v>
      </c>
      <c r="B402" s="3">
        <v>45946</v>
      </c>
      <c r="C402" t="s">
        <v>42</v>
      </c>
      <c r="D402" t="s">
        <v>16</v>
      </c>
      <c r="E402" t="s">
        <v>452</v>
      </c>
      <c r="F402" t="s">
        <v>454</v>
      </c>
      <c r="G402" s="4">
        <v>94054900</v>
      </c>
      <c r="H402" s="4">
        <v>10</v>
      </c>
      <c r="I402" s="4">
        <v>184.74</v>
      </c>
      <c r="J402" s="4">
        <f t="shared" si="24"/>
        <v>1847.4</v>
      </c>
      <c r="K402">
        <f t="shared" si="25"/>
        <v>166.26599999999999</v>
      </c>
      <c r="L402">
        <f t="shared" si="26"/>
        <v>166.26599999999999</v>
      </c>
      <c r="M402">
        <f t="shared" si="27"/>
        <v>2179.9</v>
      </c>
    </row>
    <row r="403" spans="1:13" x14ac:dyDescent="0.25">
      <c r="A403" s="4">
        <v>1246</v>
      </c>
      <c r="B403" s="3">
        <v>45946</v>
      </c>
      <c r="C403" t="s">
        <v>42</v>
      </c>
      <c r="D403" t="s">
        <v>55</v>
      </c>
      <c r="E403" t="s">
        <v>452</v>
      </c>
      <c r="F403" t="s">
        <v>454</v>
      </c>
      <c r="G403" s="4">
        <v>94054900</v>
      </c>
      <c r="H403" s="4">
        <v>8</v>
      </c>
      <c r="I403" s="4">
        <v>889.83</v>
      </c>
      <c r="J403" s="4">
        <f t="shared" si="24"/>
        <v>7118.64</v>
      </c>
      <c r="K403">
        <f t="shared" si="25"/>
        <v>640.67759999999998</v>
      </c>
      <c r="L403">
        <f t="shared" si="26"/>
        <v>640.67759999999998</v>
      </c>
      <c r="M403">
        <f t="shared" si="27"/>
        <v>8400</v>
      </c>
    </row>
    <row r="404" spans="1:13" x14ac:dyDescent="0.25">
      <c r="A404" s="4">
        <v>1246</v>
      </c>
      <c r="B404" s="3">
        <v>45946</v>
      </c>
      <c r="C404" t="s">
        <v>42</v>
      </c>
      <c r="D404" t="s">
        <v>47</v>
      </c>
      <c r="E404" t="s">
        <v>452</v>
      </c>
      <c r="F404" t="s">
        <v>454</v>
      </c>
      <c r="G404" s="4">
        <v>94054900</v>
      </c>
      <c r="H404" s="4">
        <v>10</v>
      </c>
      <c r="I404" s="4">
        <v>190.68</v>
      </c>
      <c r="J404" s="4">
        <f t="shared" si="24"/>
        <v>1906.8000000000002</v>
      </c>
      <c r="K404">
        <f t="shared" si="25"/>
        <v>171.61200000000002</v>
      </c>
      <c r="L404">
        <f t="shared" si="26"/>
        <v>171.61200000000002</v>
      </c>
      <c r="M404">
        <f t="shared" si="27"/>
        <v>2250</v>
      </c>
    </row>
    <row r="405" spans="1:13" x14ac:dyDescent="0.25">
      <c r="A405" s="4">
        <v>1218</v>
      </c>
      <c r="B405" s="3">
        <v>45930</v>
      </c>
      <c r="C405" t="s">
        <v>37</v>
      </c>
      <c r="D405" t="s">
        <v>13</v>
      </c>
      <c r="E405" t="s">
        <v>452</v>
      </c>
      <c r="F405" t="s">
        <v>454</v>
      </c>
      <c r="G405" s="4">
        <v>94054900</v>
      </c>
      <c r="H405">
        <v>300</v>
      </c>
      <c r="I405">
        <v>68.22</v>
      </c>
      <c r="J405" s="4">
        <f t="shared" si="24"/>
        <v>20466</v>
      </c>
      <c r="K405">
        <f t="shared" si="25"/>
        <v>1841.9399999999998</v>
      </c>
      <c r="L405">
        <f t="shared" si="26"/>
        <v>1841.9399999999998</v>
      </c>
      <c r="M405">
        <f t="shared" si="27"/>
        <v>24149.9</v>
      </c>
    </row>
    <row r="406" spans="1:13" x14ac:dyDescent="0.25">
      <c r="A406" s="4">
        <v>1216</v>
      </c>
      <c r="B406" s="3">
        <v>45925</v>
      </c>
      <c r="C406" t="s">
        <v>37</v>
      </c>
      <c r="D406" t="s">
        <v>13</v>
      </c>
      <c r="E406" t="s">
        <v>452</v>
      </c>
      <c r="F406" t="s">
        <v>454</v>
      </c>
      <c r="G406" s="4">
        <v>94054900</v>
      </c>
      <c r="H406">
        <v>200</v>
      </c>
      <c r="I406">
        <v>68.22</v>
      </c>
      <c r="J406" s="4">
        <f t="shared" si="24"/>
        <v>13644</v>
      </c>
      <c r="K406">
        <f t="shared" si="25"/>
        <v>1227.96</v>
      </c>
      <c r="L406">
        <f t="shared" si="26"/>
        <v>1227.96</v>
      </c>
      <c r="M406">
        <f t="shared" si="27"/>
        <v>16099.9</v>
      </c>
    </row>
    <row r="407" spans="1:13" x14ac:dyDescent="0.25">
      <c r="A407" s="4">
        <v>548</v>
      </c>
      <c r="B407" s="3">
        <v>45925</v>
      </c>
      <c r="C407" t="s">
        <v>80</v>
      </c>
      <c r="D407" t="s">
        <v>81</v>
      </c>
      <c r="E407" t="s">
        <v>452</v>
      </c>
      <c r="F407" t="s">
        <v>453</v>
      </c>
      <c r="G407" s="4">
        <v>84145120</v>
      </c>
      <c r="H407">
        <v>1</v>
      </c>
      <c r="I407">
        <v>1906.77</v>
      </c>
      <c r="J407" s="4">
        <f t="shared" si="24"/>
        <v>1906.77</v>
      </c>
      <c r="K407">
        <f t="shared" si="25"/>
        <v>171.60929999999999</v>
      </c>
      <c r="L407">
        <f t="shared" si="26"/>
        <v>171.60929999999999</v>
      </c>
      <c r="M407">
        <f t="shared" si="27"/>
        <v>2250</v>
      </c>
    </row>
    <row r="408" spans="1:13" x14ac:dyDescent="0.25">
      <c r="A408" s="4">
        <v>548</v>
      </c>
      <c r="B408" s="3">
        <v>45925</v>
      </c>
      <c r="C408" t="s">
        <v>80</v>
      </c>
      <c r="D408" t="s">
        <v>33</v>
      </c>
      <c r="E408" t="s">
        <v>452</v>
      </c>
      <c r="F408" t="s">
        <v>453</v>
      </c>
      <c r="G408" s="4">
        <v>84145120</v>
      </c>
      <c r="H408">
        <v>1</v>
      </c>
      <c r="I408">
        <v>1906.77</v>
      </c>
      <c r="J408" s="4">
        <f t="shared" si="24"/>
        <v>1906.77</v>
      </c>
      <c r="K408">
        <f t="shared" si="25"/>
        <v>171.60929999999999</v>
      </c>
      <c r="L408">
        <f t="shared" si="26"/>
        <v>171.60929999999999</v>
      </c>
      <c r="M408">
        <f t="shared" si="27"/>
        <v>2250</v>
      </c>
    </row>
    <row r="409" spans="1:13" x14ac:dyDescent="0.25">
      <c r="A409" s="4">
        <v>548</v>
      </c>
      <c r="B409" s="3">
        <v>45925</v>
      </c>
      <c r="C409" t="s">
        <v>80</v>
      </c>
      <c r="D409" t="s">
        <v>82</v>
      </c>
      <c r="E409" t="s">
        <v>452</v>
      </c>
      <c r="F409" t="s">
        <v>453</v>
      </c>
      <c r="G409" s="4">
        <v>84145120</v>
      </c>
      <c r="H409">
        <v>1</v>
      </c>
      <c r="I409">
        <v>1144.06</v>
      </c>
      <c r="J409" s="4">
        <f t="shared" si="24"/>
        <v>1144.06</v>
      </c>
      <c r="K409">
        <f t="shared" si="25"/>
        <v>102.96539999999999</v>
      </c>
      <c r="L409">
        <f t="shared" si="26"/>
        <v>102.96539999999999</v>
      </c>
      <c r="M409">
        <f t="shared" si="27"/>
        <v>1350</v>
      </c>
    </row>
    <row r="410" spans="1:13" x14ac:dyDescent="0.25">
      <c r="A410" s="4">
        <v>834</v>
      </c>
      <c r="B410" s="3">
        <v>45925</v>
      </c>
      <c r="C410" t="s">
        <v>101</v>
      </c>
      <c r="D410" t="s">
        <v>50</v>
      </c>
      <c r="E410" t="s">
        <v>452</v>
      </c>
      <c r="F410" t="s">
        <v>453</v>
      </c>
      <c r="G410" s="4">
        <v>84145120</v>
      </c>
      <c r="H410">
        <v>3</v>
      </c>
      <c r="I410">
        <v>1144.06</v>
      </c>
      <c r="J410" s="4">
        <f t="shared" si="24"/>
        <v>3432.18</v>
      </c>
      <c r="K410">
        <f t="shared" si="25"/>
        <v>308.89619999999996</v>
      </c>
      <c r="L410">
        <f t="shared" si="26"/>
        <v>308.89619999999996</v>
      </c>
      <c r="M410">
        <f t="shared" si="27"/>
        <v>4050</v>
      </c>
    </row>
    <row r="411" spans="1:13" x14ac:dyDescent="0.25">
      <c r="A411" s="4">
        <v>848</v>
      </c>
      <c r="B411" s="3">
        <v>45925</v>
      </c>
      <c r="C411" t="s">
        <v>80</v>
      </c>
      <c r="D411" t="s">
        <v>81</v>
      </c>
      <c r="E411" t="s">
        <v>452</v>
      </c>
      <c r="F411" t="s">
        <v>453</v>
      </c>
      <c r="G411" s="4">
        <v>84145120</v>
      </c>
      <c r="H411">
        <v>1</v>
      </c>
      <c r="I411">
        <v>1906.7</v>
      </c>
      <c r="J411" s="4">
        <f t="shared" si="24"/>
        <v>1906.7</v>
      </c>
      <c r="K411">
        <f t="shared" si="25"/>
        <v>171.60300000000001</v>
      </c>
      <c r="L411">
        <f t="shared" si="26"/>
        <v>171.60300000000001</v>
      </c>
      <c r="M411">
        <f t="shared" si="27"/>
        <v>2249.9</v>
      </c>
    </row>
    <row r="412" spans="1:13" x14ac:dyDescent="0.25">
      <c r="A412" s="4">
        <v>848</v>
      </c>
      <c r="B412" s="3">
        <v>45925</v>
      </c>
      <c r="C412" t="s">
        <v>80</v>
      </c>
      <c r="D412" t="s">
        <v>33</v>
      </c>
      <c r="E412" t="s">
        <v>452</v>
      </c>
      <c r="F412" t="s">
        <v>453</v>
      </c>
      <c r="G412" s="4">
        <v>84145120</v>
      </c>
      <c r="H412">
        <v>1</v>
      </c>
      <c r="I412">
        <v>1906.77</v>
      </c>
      <c r="J412" s="4">
        <f t="shared" si="24"/>
        <v>1906.77</v>
      </c>
      <c r="K412">
        <f t="shared" si="25"/>
        <v>171.60929999999999</v>
      </c>
      <c r="L412">
        <f t="shared" si="26"/>
        <v>171.60929999999999</v>
      </c>
      <c r="M412">
        <f t="shared" si="27"/>
        <v>2250</v>
      </c>
    </row>
    <row r="413" spans="1:13" x14ac:dyDescent="0.25">
      <c r="A413" s="4">
        <v>848</v>
      </c>
      <c r="B413" s="3">
        <v>45925</v>
      </c>
      <c r="C413" t="s">
        <v>80</v>
      </c>
      <c r="D413" t="s">
        <v>82</v>
      </c>
      <c r="E413" t="s">
        <v>452</v>
      </c>
      <c r="F413" t="s">
        <v>453</v>
      </c>
      <c r="G413" s="4">
        <v>84145120</v>
      </c>
      <c r="H413">
        <v>1</v>
      </c>
      <c r="I413">
        <v>1144.06</v>
      </c>
      <c r="J413" s="4">
        <f t="shared" si="24"/>
        <v>1144.06</v>
      </c>
      <c r="K413">
        <f t="shared" si="25"/>
        <v>102.96539999999999</v>
      </c>
      <c r="L413">
        <f t="shared" si="26"/>
        <v>102.96539999999999</v>
      </c>
      <c r="M413">
        <f t="shared" si="27"/>
        <v>1350</v>
      </c>
    </row>
    <row r="414" spans="1:13" x14ac:dyDescent="0.25">
      <c r="A414" s="4">
        <v>1215</v>
      </c>
      <c r="B414" s="3">
        <v>45924</v>
      </c>
      <c r="C414" t="s">
        <v>17</v>
      </c>
      <c r="D414" t="s">
        <v>36</v>
      </c>
      <c r="E414" t="s">
        <v>452</v>
      </c>
      <c r="F414" t="s">
        <v>454</v>
      </c>
      <c r="G414" s="4">
        <v>94054900</v>
      </c>
      <c r="H414">
        <v>10</v>
      </c>
      <c r="I414">
        <v>313.56</v>
      </c>
      <c r="J414" s="4">
        <f t="shared" si="24"/>
        <v>3135.6</v>
      </c>
      <c r="K414">
        <f t="shared" si="25"/>
        <v>282.20400000000001</v>
      </c>
      <c r="L414">
        <f t="shared" si="26"/>
        <v>282.20400000000001</v>
      </c>
      <c r="M414">
        <f t="shared" si="27"/>
        <v>3700</v>
      </c>
    </row>
    <row r="415" spans="1:13" x14ac:dyDescent="0.25">
      <c r="A415" s="4">
        <v>1214</v>
      </c>
      <c r="B415" s="3">
        <v>45922</v>
      </c>
      <c r="C415" t="s">
        <v>17</v>
      </c>
      <c r="D415" t="s">
        <v>18</v>
      </c>
      <c r="E415" t="s">
        <v>452</v>
      </c>
      <c r="F415" t="s">
        <v>454</v>
      </c>
      <c r="G415" s="4">
        <v>94054900</v>
      </c>
      <c r="H415">
        <v>2</v>
      </c>
      <c r="I415">
        <v>268.64</v>
      </c>
      <c r="J415" s="4">
        <f t="shared" si="24"/>
        <v>537.28</v>
      </c>
      <c r="K415">
        <f t="shared" si="25"/>
        <v>48.355199999999996</v>
      </c>
      <c r="L415">
        <f t="shared" si="26"/>
        <v>48.355199999999996</v>
      </c>
      <c r="M415">
        <f t="shared" si="27"/>
        <v>634</v>
      </c>
    </row>
    <row r="416" spans="1:13" x14ac:dyDescent="0.25">
      <c r="A416" s="4">
        <v>2</v>
      </c>
      <c r="B416" s="3">
        <v>45922</v>
      </c>
      <c r="C416" t="s">
        <v>77</v>
      </c>
      <c r="D416" t="s">
        <v>43</v>
      </c>
      <c r="E416" t="s">
        <v>452</v>
      </c>
      <c r="F416" t="s">
        <v>454</v>
      </c>
      <c r="G416" s="4">
        <v>94054900</v>
      </c>
      <c r="H416">
        <v>900</v>
      </c>
      <c r="I416">
        <v>22.03</v>
      </c>
      <c r="J416" s="4">
        <f t="shared" si="24"/>
        <v>19827</v>
      </c>
      <c r="K416">
        <f t="shared" si="25"/>
        <v>1784.4299999999998</v>
      </c>
      <c r="L416">
        <f t="shared" si="26"/>
        <v>1784.4299999999998</v>
      </c>
      <c r="M416">
        <f t="shared" si="27"/>
        <v>23395.9</v>
      </c>
    </row>
    <row r="417" spans="1:13" x14ac:dyDescent="0.25">
      <c r="A417" s="4">
        <v>2</v>
      </c>
      <c r="B417" s="3">
        <v>45922</v>
      </c>
      <c r="C417" t="s">
        <v>77</v>
      </c>
      <c r="D417" t="s">
        <v>35</v>
      </c>
      <c r="E417" t="s">
        <v>452</v>
      </c>
      <c r="F417" t="s">
        <v>454</v>
      </c>
      <c r="G417" s="4">
        <v>94054900</v>
      </c>
      <c r="H417">
        <v>1000</v>
      </c>
      <c r="I417">
        <v>19.27</v>
      </c>
      <c r="J417" s="4">
        <f t="shared" si="24"/>
        <v>19270</v>
      </c>
      <c r="K417">
        <f t="shared" si="25"/>
        <v>1734.3</v>
      </c>
      <c r="L417">
        <f t="shared" si="26"/>
        <v>1734.3</v>
      </c>
      <c r="M417">
        <f t="shared" si="27"/>
        <v>22738.6</v>
      </c>
    </row>
    <row r="418" spans="1:13" x14ac:dyDescent="0.25">
      <c r="A418" s="4">
        <v>3</v>
      </c>
      <c r="B418" s="3">
        <v>45922</v>
      </c>
      <c r="C418" t="s">
        <v>78</v>
      </c>
      <c r="D418" t="s">
        <v>43</v>
      </c>
      <c r="E418" t="s">
        <v>452</v>
      </c>
      <c r="F418" t="s">
        <v>454</v>
      </c>
      <c r="G418" s="4">
        <v>94054900</v>
      </c>
      <c r="H418">
        <v>100</v>
      </c>
      <c r="I418">
        <v>22.03</v>
      </c>
      <c r="J418" s="4">
        <f t="shared" si="24"/>
        <v>2203</v>
      </c>
      <c r="K418">
        <f t="shared" si="25"/>
        <v>198.26999999999998</v>
      </c>
      <c r="L418">
        <f t="shared" si="26"/>
        <v>198.26999999999998</v>
      </c>
      <c r="M418">
        <f t="shared" si="27"/>
        <v>2599.5</v>
      </c>
    </row>
    <row r="419" spans="1:13" x14ac:dyDescent="0.25">
      <c r="A419" s="4">
        <v>4</v>
      </c>
      <c r="B419" s="3">
        <v>45922</v>
      </c>
      <c r="C419" t="s">
        <v>79</v>
      </c>
      <c r="D419" t="s">
        <v>35</v>
      </c>
      <c r="E419" t="s">
        <v>452</v>
      </c>
      <c r="F419" t="s">
        <v>454</v>
      </c>
      <c r="G419" s="4">
        <v>94054900</v>
      </c>
      <c r="H419">
        <v>50</v>
      </c>
      <c r="I419">
        <v>19.27</v>
      </c>
      <c r="J419" s="4">
        <f t="shared" si="24"/>
        <v>963.5</v>
      </c>
      <c r="K419">
        <f t="shared" si="25"/>
        <v>86.715000000000003</v>
      </c>
      <c r="L419">
        <f t="shared" si="26"/>
        <v>86.715000000000003</v>
      </c>
      <c r="M419">
        <f t="shared" si="27"/>
        <v>1136.9000000000001</v>
      </c>
    </row>
    <row r="420" spans="1:13" x14ac:dyDescent="0.25">
      <c r="A420" s="4">
        <v>4</v>
      </c>
      <c r="B420" s="3">
        <v>45922</v>
      </c>
      <c r="C420" t="s">
        <v>79</v>
      </c>
      <c r="D420" t="s">
        <v>43</v>
      </c>
      <c r="E420" t="s">
        <v>452</v>
      </c>
      <c r="F420" t="s">
        <v>454</v>
      </c>
      <c r="G420" s="4">
        <v>94054900</v>
      </c>
      <c r="H420">
        <v>50</v>
      </c>
      <c r="I420">
        <v>22.03</v>
      </c>
      <c r="J420" s="4">
        <f t="shared" si="24"/>
        <v>1101.5</v>
      </c>
      <c r="K420">
        <f t="shared" si="25"/>
        <v>99.134999999999991</v>
      </c>
      <c r="L420">
        <f t="shared" si="26"/>
        <v>99.134999999999991</v>
      </c>
      <c r="M420">
        <f t="shared" si="27"/>
        <v>1299.8</v>
      </c>
    </row>
    <row r="421" spans="1:13" x14ac:dyDescent="0.25">
      <c r="A421" s="4">
        <v>5</v>
      </c>
      <c r="B421" s="3">
        <v>45922</v>
      </c>
      <c r="C421" t="s">
        <v>83</v>
      </c>
      <c r="D421" t="s">
        <v>43</v>
      </c>
      <c r="E421" t="s">
        <v>452</v>
      </c>
      <c r="F421" t="s">
        <v>454</v>
      </c>
      <c r="G421" s="4">
        <v>94054900</v>
      </c>
      <c r="H421">
        <v>300</v>
      </c>
      <c r="I421">
        <v>22.03</v>
      </c>
      <c r="J421" s="4">
        <f t="shared" si="24"/>
        <v>6609</v>
      </c>
      <c r="K421">
        <f t="shared" si="25"/>
        <v>594.80999999999995</v>
      </c>
      <c r="L421">
        <f t="shared" si="26"/>
        <v>594.80999999999995</v>
      </c>
      <c r="M421">
        <f t="shared" si="27"/>
        <v>7798.6</v>
      </c>
    </row>
    <row r="422" spans="1:13" x14ac:dyDescent="0.25">
      <c r="A422" s="4">
        <v>6</v>
      </c>
      <c r="B422" s="3">
        <v>45922</v>
      </c>
      <c r="C422" t="s">
        <v>84</v>
      </c>
      <c r="D422" t="s">
        <v>85</v>
      </c>
      <c r="E422" t="s">
        <v>452</v>
      </c>
      <c r="F422" t="s">
        <v>454</v>
      </c>
      <c r="G422" s="4">
        <v>94054900</v>
      </c>
      <c r="H422">
        <v>100</v>
      </c>
      <c r="I422">
        <v>19.27</v>
      </c>
      <c r="J422" s="4">
        <f t="shared" si="24"/>
        <v>1927</v>
      </c>
      <c r="K422">
        <f t="shared" si="25"/>
        <v>173.43</v>
      </c>
      <c r="L422">
        <f t="shared" si="26"/>
        <v>173.43</v>
      </c>
      <c r="M422">
        <f t="shared" si="27"/>
        <v>2273.9</v>
      </c>
    </row>
    <row r="423" spans="1:13" x14ac:dyDescent="0.25">
      <c r="A423" s="4">
        <v>1212</v>
      </c>
      <c r="B423" s="3">
        <v>45921</v>
      </c>
      <c r="C423" t="s">
        <v>22</v>
      </c>
      <c r="D423" t="s">
        <v>34</v>
      </c>
      <c r="E423" t="s">
        <v>452</v>
      </c>
      <c r="F423" t="s">
        <v>454</v>
      </c>
      <c r="G423" s="4">
        <v>94054900</v>
      </c>
      <c r="H423">
        <v>6</v>
      </c>
      <c r="I423">
        <v>497.46</v>
      </c>
      <c r="J423" s="4">
        <f t="shared" si="24"/>
        <v>2984.7599999999998</v>
      </c>
      <c r="K423">
        <f t="shared" si="25"/>
        <v>268.62839999999994</v>
      </c>
      <c r="L423">
        <f t="shared" si="26"/>
        <v>268.62839999999994</v>
      </c>
      <c r="M423">
        <f t="shared" si="27"/>
        <v>3522</v>
      </c>
    </row>
    <row r="424" spans="1:13" x14ac:dyDescent="0.25">
      <c r="A424" s="4">
        <v>1212</v>
      </c>
      <c r="B424" s="3">
        <v>45921</v>
      </c>
      <c r="C424" t="s">
        <v>22</v>
      </c>
      <c r="D424" t="s">
        <v>35</v>
      </c>
      <c r="E424" t="s">
        <v>452</v>
      </c>
      <c r="F424" t="s">
        <v>454</v>
      </c>
      <c r="G424" s="4">
        <v>94054900</v>
      </c>
      <c r="H424">
        <v>200</v>
      </c>
      <c r="I424">
        <v>22.03</v>
      </c>
      <c r="J424" s="4">
        <f t="shared" si="24"/>
        <v>4406</v>
      </c>
      <c r="K424">
        <f t="shared" si="25"/>
        <v>396.53999999999996</v>
      </c>
      <c r="L424">
        <f t="shared" si="26"/>
        <v>396.53999999999996</v>
      </c>
      <c r="M424">
        <f t="shared" si="27"/>
        <v>5199.1000000000004</v>
      </c>
    </row>
    <row r="425" spans="1:13" x14ac:dyDescent="0.25">
      <c r="A425" s="4">
        <v>1212</v>
      </c>
      <c r="B425" s="3">
        <v>45921</v>
      </c>
      <c r="C425" t="s">
        <v>22</v>
      </c>
      <c r="D425" t="s">
        <v>15</v>
      </c>
      <c r="E425" t="s">
        <v>452</v>
      </c>
      <c r="F425" t="s">
        <v>454</v>
      </c>
      <c r="G425" s="4">
        <v>94054900</v>
      </c>
      <c r="H425">
        <v>5</v>
      </c>
      <c r="I425">
        <v>106.78</v>
      </c>
      <c r="J425" s="4">
        <f t="shared" si="24"/>
        <v>533.9</v>
      </c>
      <c r="K425">
        <f t="shared" si="25"/>
        <v>48.050999999999995</v>
      </c>
      <c r="L425">
        <f t="shared" si="26"/>
        <v>48.050999999999995</v>
      </c>
      <c r="M425">
        <f t="shared" si="27"/>
        <v>630</v>
      </c>
    </row>
    <row r="426" spans="1:13" x14ac:dyDescent="0.25">
      <c r="A426" s="4">
        <v>1213</v>
      </c>
      <c r="B426" s="3">
        <v>45921</v>
      </c>
      <c r="C426" t="s">
        <v>25</v>
      </c>
      <c r="D426" t="s">
        <v>35</v>
      </c>
      <c r="E426" t="s">
        <v>452</v>
      </c>
      <c r="F426" t="s">
        <v>454</v>
      </c>
      <c r="G426" s="4">
        <v>94054900</v>
      </c>
      <c r="H426">
        <v>200</v>
      </c>
      <c r="I426">
        <v>22.03</v>
      </c>
      <c r="J426" s="4">
        <f t="shared" si="24"/>
        <v>4406</v>
      </c>
      <c r="K426">
        <f t="shared" si="25"/>
        <v>396.53999999999996</v>
      </c>
      <c r="L426">
        <f t="shared" si="26"/>
        <v>396.53999999999996</v>
      </c>
      <c r="M426">
        <f t="shared" si="27"/>
        <v>5199.1000000000004</v>
      </c>
    </row>
    <row r="427" spans="1:13" x14ac:dyDescent="0.25">
      <c r="A427" s="4">
        <v>849</v>
      </c>
      <c r="B427" s="3">
        <v>45919</v>
      </c>
      <c r="C427" t="s">
        <v>112</v>
      </c>
      <c r="D427" t="s">
        <v>81</v>
      </c>
      <c r="E427" t="s">
        <v>452</v>
      </c>
      <c r="F427" t="s">
        <v>453</v>
      </c>
      <c r="G427" s="4">
        <v>84145120</v>
      </c>
      <c r="H427" s="4">
        <v>1</v>
      </c>
      <c r="I427" s="4">
        <v>1906.77</v>
      </c>
      <c r="J427" s="4">
        <f t="shared" si="24"/>
        <v>1906.77</v>
      </c>
      <c r="K427">
        <f t="shared" si="25"/>
        <v>171.60929999999999</v>
      </c>
      <c r="L427">
        <f t="shared" si="26"/>
        <v>171.60929999999999</v>
      </c>
      <c r="M427">
        <f t="shared" si="27"/>
        <v>2250</v>
      </c>
    </row>
    <row r="428" spans="1:13" x14ac:dyDescent="0.25">
      <c r="A428" s="4">
        <v>849</v>
      </c>
      <c r="B428" s="3">
        <v>45919</v>
      </c>
      <c r="C428" t="s">
        <v>112</v>
      </c>
      <c r="D428" t="s">
        <v>33</v>
      </c>
      <c r="E428" t="s">
        <v>452</v>
      </c>
      <c r="F428" t="s">
        <v>453</v>
      </c>
      <c r="G428" s="4">
        <v>84145120</v>
      </c>
      <c r="H428" s="4">
        <v>2</v>
      </c>
      <c r="I428" s="4">
        <v>1906.77</v>
      </c>
      <c r="J428" s="4">
        <f t="shared" si="24"/>
        <v>3813.54</v>
      </c>
      <c r="K428">
        <f t="shared" si="25"/>
        <v>343.21859999999998</v>
      </c>
      <c r="L428">
        <f t="shared" si="26"/>
        <v>343.21859999999998</v>
      </c>
      <c r="M428">
        <f t="shared" si="27"/>
        <v>4500</v>
      </c>
    </row>
    <row r="429" spans="1:13" x14ac:dyDescent="0.25">
      <c r="A429" s="4">
        <v>849</v>
      </c>
      <c r="B429" s="3">
        <v>45919</v>
      </c>
      <c r="C429" t="s">
        <v>112</v>
      </c>
      <c r="D429" t="s">
        <v>91</v>
      </c>
      <c r="E429" t="s">
        <v>452</v>
      </c>
      <c r="F429" t="s">
        <v>453</v>
      </c>
      <c r="G429" s="4">
        <v>84145120</v>
      </c>
      <c r="H429" s="4">
        <v>1</v>
      </c>
      <c r="I429" s="4">
        <v>2741.52</v>
      </c>
      <c r="J429" s="4">
        <f t="shared" si="24"/>
        <v>2741.52</v>
      </c>
      <c r="K429">
        <f t="shared" si="25"/>
        <v>246.73679999999999</v>
      </c>
      <c r="L429">
        <f t="shared" si="26"/>
        <v>246.73679999999999</v>
      </c>
      <c r="M429">
        <f t="shared" si="27"/>
        <v>3235</v>
      </c>
    </row>
    <row r="430" spans="1:13" x14ac:dyDescent="0.25">
      <c r="A430" s="4">
        <v>849</v>
      </c>
      <c r="B430" s="3">
        <v>45919</v>
      </c>
      <c r="C430" t="s">
        <v>112</v>
      </c>
      <c r="D430" t="s">
        <v>92</v>
      </c>
      <c r="E430" t="s">
        <v>452</v>
      </c>
      <c r="F430" t="s">
        <v>453</v>
      </c>
      <c r="G430" s="4">
        <v>84145120</v>
      </c>
      <c r="H430" s="4">
        <v>1</v>
      </c>
      <c r="I430" s="4">
        <v>2741.52</v>
      </c>
      <c r="J430" s="4">
        <f t="shared" si="24"/>
        <v>2741.52</v>
      </c>
      <c r="K430">
        <f t="shared" si="25"/>
        <v>246.73679999999999</v>
      </c>
      <c r="L430">
        <f t="shared" si="26"/>
        <v>246.73679999999999</v>
      </c>
      <c r="M430">
        <f t="shared" si="27"/>
        <v>3235</v>
      </c>
    </row>
    <row r="431" spans="1:13" x14ac:dyDescent="0.25">
      <c r="A431" s="4">
        <v>849</v>
      </c>
      <c r="B431" s="3">
        <v>45919</v>
      </c>
      <c r="C431" t="s">
        <v>112</v>
      </c>
      <c r="D431" t="s">
        <v>107</v>
      </c>
      <c r="E431" t="s">
        <v>452</v>
      </c>
      <c r="F431" t="s">
        <v>453</v>
      </c>
      <c r="G431" s="4">
        <v>84145120</v>
      </c>
      <c r="H431" s="4">
        <v>2</v>
      </c>
      <c r="I431" s="4">
        <v>2610.16</v>
      </c>
      <c r="J431" s="4">
        <f t="shared" si="24"/>
        <v>5220.32</v>
      </c>
      <c r="K431">
        <f t="shared" si="25"/>
        <v>469.82879999999994</v>
      </c>
      <c r="L431">
        <f t="shared" si="26"/>
        <v>469.82879999999994</v>
      </c>
      <c r="M431">
        <f t="shared" si="27"/>
        <v>6160</v>
      </c>
    </row>
    <row r="432" spans="1:13" x14ac:dyDescent="0.25">
      <c r="A432" s="4">
        <v>844</v>
      </c>
      <c r="B432" s="3">
        <v>45918</v>
      </c>
      <c r="C432" t="s">
        <v>109</v>
      </c>
      <c r="D432" t="s">
        <v>33</v>
      </c>
      <c r="E432" t="s">
        <v>452</v>
      </c>
      <c r="F432" t="s">
        <v>453</v>
      </c>
      <c r="G432" s="4">
        <v>84145120</v>
      </c>
      <c r="H432" s="4">
        <v>1</v>
      </c>
      <c r="I432" s="4">
        <v>1906.77</v>
      </c>
      <c r="J432" s="4">
        <f t="shared" si="24"/>
        <v>1906.77</v>
      </c>
      <c r="K432">
        <f t="shared" si="25"/>
        <v>171.60929999999999</v>
      </c>
      <c r="L432">
        <f t="shared" si="26"/>
        <v>171.60929999999999</v>
      </c>
      <c r="M432">
        <f t="shared" si="27"/>
        <v>2250</v>
      </c>
    </row>
    <row r="433" spans="1:13" x14ac:dyDescent="0.25">
      <c r="A433" s="4">
        <v>844</v>
      </c>
      <c r="B433" s="3">
        <v>45918</v>
      </c>
      <c r="C433" t="s">
        <v>109</v>
      </c>
      <c r="D433" t="s">
        <v>81</v>
      </c>
      <c r="E433" t="s">
        <v>452</v>
      </c>
      <c r="F433" t="s">
        <v>453</v>
      </c>
      <c r="G433" s="4">
        <v>84145120</v>
      </c>
      <c r="H433" s="4">
        <v>1</v>
      </c>
      <c r="I433" s="4">
        <v>1906.7</v>
      </c>
      <c r="J433" s="4">
        <f t="shared" si="24"/>
        <v>1906.7</v>
      </c>
      <c r="K433">
        <f t="shared" si="25"/>
        <v>171.60300000000001</v>
      </c>
      <c r="L433">
        <f t="shared" si="26"/>
        <v>171.60300000000001</v>
      </c>
      <c r="M433">
        <f t="shared" si="27"/>
        <v>2249.9</v>
      </c>
    </row>
    <row r="434" spans="1:13" x14ac:dyDescent="0.25">
      <c r="A434" s="4">
        <v>844</v>
      </c>
      <c r="B434" s="3">
        <v>45918</v>
      </c>
      <c r="C434" t="s">
        <v>109</v>
      </c>
      <c r="D434" t="s">
        <v>94</v>
      </c>
      <c r="E434" t="s">
        <v>452</v>
      </c>
      <c r="F434" t="s">
        <v>453</v>
      </c>
      <c r="G434" s="4">
        <v>84145120</v>
      </c>
      <c r="H434" s="4">
        <v>1</v>
      </c>
      <c r="I434" s="4">
        <v>2983.05</v>
      </c>
      <c r="J434" s="4">
        <f t="shared" si="24"/>
        <v>2983.05</v>
      </c>
      <c r="K434">
        <f t="shared" si="25"/>
        <v>268.47450000000003</v>
      </c>
      <c r="L434">
        <f t="shared" si="26"/>
        <v>268.47450000000003</v>
      </c>
      <c r="M434">
        <f t="shared" si="27"/>
        <v>3520</v>
      </c>
    </row>
    <row r="435" spans="1:13" x14ac:dyDescent="0.25">
      <c r="A435" s="4">
        <v>845</v>
      </c>
      <c r="B435" s="3">
        <v>45917</v>
      </c>
      <c r="C435" t="s">
        <v>78</v>
      </c>
      <c r="D435" t="s">
        <v>81</v>
      </c>
      <c r="E435" t="s">
        <v>452</v>
      </c>
      <c r="F435" t="s">
        <v>453</v>
      </c>
      <c r="G435" s="4">
        <v>84145120</v>
      </c>
      <c r="H435">
        <v>1</v>
      </c>
      <c r="I435">
        <v>1906.77</v>
      </c>
      <c r="J435" s="4">
        <f t="shared" si="24"/>
        <v>1906.77</v>
      </c>
      <c r="K435">
        <f t="shared" si="25"/>
        <v>171.60929999999999</v>
      </c>
      <c r="L435">
        <f t="shared" si="26"/>
        <v>171.60929999999999</v>
      </c>
      <c r="M435">
        <f t="shared" si="27"/>
        <v>2250</v>
      </c>
    </row>
    <row r="436" spans="1:13" x14ac:dyDescent="0.25">
      <c r="A436" s="4">
        <v>845</v>
      </c>
      <c r="B436" s="3">
        <v>45917</v>
      </c>
      <c r="C436" t="s">
        <v>78</v>
      </c>
      <c r="D436" t="s">
        <v>33</v>
      </c>
      <c r="E436" t="s">
        <v>452</v>
      </c>
      <c r="F436" t="s">
        <v>453</v>
      </c>
      <c r="G436" s="4">
        <v>84145120</v>
      </c>
      <c r="H436">
        <v>4</v>
      </c>
      <c r="I436">
        <v>1906.77</v>
      </c>
      <c r="J436" s="4">
        <f t="shared" si="24"/>
        <v>7627.08</v>
      </c>
      <c r="K436">
        <f t="shared" si="25"/>
        <v>686.43719999999996</v>
      </c>
      <c r="L436">
        <f t="shared" si="26"/>
        <v>686.43719999999996</v>
      </c>
      <c r="M436">
        <f t="shared" si="27"/>
        <v>9000</v>
      </c>
    </row>
    <row r="437" spans="1:13" x14ac:dyDescent="0.25">
      <c r="A437" s="4">
        <v>845</v>
      </c>
      <c r="B437" s="3">
        <v>45917</v>
      </c>
      <c r="C437" t="s">
        <v>78</v>
      </c>
      <c r="D437" t="s">
        <v>96</v>
      </c>
      <c r="E437" t="s">
        <v>452</v>
      </c>
      <c r="F437" t="s">
        <v>453</v>
      </c>
      <c r="G437" s="4">
        <v>84145120</v>
      </c>
      <c r="H437">
        <v>1</v>
      </c>
      <c r="I437">
        <v>1906.78</v>
      </c>
      <c r="J437" s="4">
        <f t="shared" si="24"/>
        <v>1906.78</v>
      </c>
      <c r="K437">
        <f t="shared" si="25"/>
        <v>171.61019999999999</v>
      </c>
      <c r="L437">
        <f t="shared" si="26"/>
        <v>171.61019999999999</v>
      </c>
      <c r="M437">
        <f t="shared" si="27"/>
        <v>2250</v>
      </c>
    </row>
    <row r="438" spans="1:13" x14ac:dyDescent="0.25">
      <c r="A438" s="4">
        <v>845</v>
      </c>
      <c r="B438" s="3">
        <v>45917</v>
      </c>
      <c r="C438" t="s">
        <v>78</v>
      </c>
      <c r="D438" t="s">
        <v>98</v>
      </c>
      <c r="E438" t="s">
        <v>452</v>
      </c>
      <c r="F438" t="s">
        <v>453</v>
      </c>
      <c r="G438" s="4">
        <v>84145120</v>
      </c>
      <c r="H438">
        <v>1</v>
      </c>
      <c r="I438">
        <v>1906.77</v>
      </c>
      <c r="J438" s="4">
        <f t="shared" si="24"/>
        <v>1906.77</v>
      </c>
      <c r="K438">
        <f t="shared" si="25"/>
        <v>171.60929999999999</v>
      </c>
      <c r="L438">
        <f t="shared" si="26"/>
        <v>171.60929999999999</v>
      </c>
      <c r="M438">
        <f t="shared" si="27"/>
        <v>2250</v>
      </c>
    </row>
    <row r="439" spans="1:13" x14ac:dyDescent="0.25">
      <c r="A439" s="4">
        <v>842</v>
      </c>
      <c r="B439" s="3">
        <v>45915</v>
      </c>
      <c r="C439" t="s">
        <v>86</v>
      </c>
      <c r="D439" t="s">
        <v>33</v>
      </c>
      <c r="E439" t="s">
        <v>452</v>
      </c>
      <c r="F439" t="s">
        <v>453</v>
      </c>
      <c r="G439" s="4">
        <v>84145120</v>
      </c>
      <c r="H439">
        <v>3</v>
      </c>
      <c r="I439">
        <v>1906.77</v>
      </c>
      <c r="J439" s="4">
        <f t="shared" si="24"/>
        <v>5720.3099999999995</v>
      </c>
      <c r="K439">
        <f t="shared" si="25"/>
        <v>514.82789999999989</v>
      </c>
      <c r="L439">
        <f t="shared" si="26"/>
        <v>514.82789999999989</v>
      </c>
      <c r="M439">
        <f t="shared" si="27"/>
        <v>6750</v>
      </c>
    </row>
    <row r="440" spans="1:13" x14ac:dyDescent="0.25">
      <c r="A440" s="4">
        <v>842</v>
      </c>
      <c r="B440" s="3">
        <v>45915</v>
      </c>
      <c r="C440" t="s">
        <v>86</v>
      </c>
      <c r="D440" t="s">
        <v>87</v>
      </c>
      <c r="E440" t="s">
        <v>452</v>
      </c>
      <c r="F440" t="s">
        <v>453</v>
      </c>
      <c r="G440" s="4">
        <v>84145120</v>
      </c>
      <c r="H440">
        <v>1</v>
      </c>
      <c r="I440">
        <v>1906.77</v>
      </c>
      <c r="J440" s="4">
        <f t="shared" si="24"/>
        <v>1906.77</v>
      </c>
      <c r="K440">
        <f t="shared" si="25"/>
        <v>171.60929999999999</v>
      </c>
      <c r="L440">
        <f t="shared" si="26"/>
        <v>171.60929999999999</v>
      </c>
      <c r="M440">
        <f t="shared" si="27"/>
        <v>2250</v>
      </c>
    </row>
    <row r="441" spans="1:13" x14ac:dyDescent="0.25">
      <c r="A441" s="4">
        <v>842</v>
      </c>
      <c r="B441" s="3">
        <v>45915</v>
      </c>
      <c r="C441" t="s">
        <v>86</v>
      </c>
      <c r="D441" t="s">
        <v>40</v>
      </c>
      <c r="E441" t="s">
        <v>452</v>
      </c>
      <c r="F441" t="s">
        <v>453</v>
      </c>
      <c r="G441" s="4">
        <v>84145120</v>
      </c>
      <c r="H441">
        <v>9</v>
      </c>
      <c r="I441">
        <v>1144.06</v>
      </c>
      <c r="J441" s="4">
        <f t="shared" si="24"/>
        <v>10296.539999999999</v>
      </c>
      <c r="K441">
        <f t="shared" si="25"/>
        <v>926.68859999999984</v>
      </c>
      <c r="L441">
        <f t="shared" si="26"/>
        <v>926.68859999999984</v>
      </c>
      <c r="M441">
        <f t="shared" si="27"/>
        <v>12149.9</v>
      </c>
    </row>
    <row r="442" spans="1:13" x14ac:dyDescent="0.25">
      <c r="A442" s="4">
        <v>842</v>
      </c>
      <c r="B442" s="3">
        <v>45915</v>
      </c>
      <c r="C442" t="s">
        <v>86</v>
      </c>
      <c r="D442" t="s">
        <v>107</v>
      </c>
      <c r="E442" t="s">
        <v>452</v>
      </c>
      <c r="F442" t="s">
        <v>453</v>
      </c>
      <c r="G442" s="4">
        <v>84145120</v>
      </c>
      <c r="H442">
        <v>1</v>
      </c>
      <c r="I442">
        <v>2610.16</v>
      </c>
      <c r="J442" s="4">
        <f t="shared" si="24"/>
        <v>2610.16</v>
      </c>
      <c r="K442">
        <f t="shared" si="25"/>
        <v>234.91439999999997</v>
      </c>
      <c r="L442">
        <f t="shared" si="26"/>
        <v>234.91439999999997</v>
      </c>
      <c r="M442">
        <f t="shared" si="27"/>
        <v>3080</v>
      </c>
    </row>
    <row r="443" spans="1:13" x14ac:dyDescent="0.25">
      <c r="A443" s="4">
        <v>842</v>
      </c>
      <c r="B443" s="3">
        <v>45915</v>
      </c>
      <c r="C443" t="s">
        <v>86</v>
      </c>
      <c r="D443" t="s">
        <v>90</v>
      </c>
      <c r="E443" t="s">
        <v>452</v>
      </c>
      <c r="F443" t="s">
        <v>453</v>
      </c>
      <c r="G443" s="4">
        <v>84145120</v>
      </c>
      <c r="H443">
        <v>1</v>
      </c>
      <c r="I443">
        <v>1906.7</v>
      </c>
      <c r="J443" s="4">
        <f t="shared" si="24"/>
        <v>1906.7</v>
      </c>
      <c r="K443">
        <f t="shared" si="25"/>
        <v>171.60300000000001</v>
      </c>
      <c r="L443">
        <f t="shared" si="26"/>
        <v>171.60300000000001</v>
      </c>
      <c r="M443">
        <f t="shared" si="27"/>
        <v>2249.9</v>
      </c>
    </row>
    <row r="444" spans="1:13" x14ac:dyDescent="0.25">
      <c r="A444" s="4">
        <v>837</v>
      </c>
      <c r="B444" s="3">
        <v>45912</v>
      </c>
      <c r="C444" t="s">
        <v>102</v>
      </c>
      <c r="D444" t="s">
        <v>40</v>
      </c>
      <c r="E444" t="s">
        <v>452</v>
      </c>
      <c r="F444" t="s">
        <v>453</v>
      </c>
      <c r="G444" s="4">
        <v>84145120</v>
      </c>
      <c r="H444" s="4">
        <v>4</v>
      </c>
      <c r="I444" s="4">
        <v>1144.07</v>
      </c>
      <c r="J444" s="4">
        <f t="shared" si="24"/>
        <v>4576.28</v>
      </c>
      <c r="K444">
        <f t="shared" si="25"/>
        <v>411.86519999999996</v>
      </c>
      <c r="L444">
        <f t="shared" si="26"/>
        <v>411.86519999999996</v>
      </c>
      <c r="M444">
        <f t="shared" si="27"/>
        <v>5400</v>
      </c>
    </row>
    <row r="445" spans="1:13" x14ac:dyDescent="0.25">
      <c r="A445" s="4">
        <v>846</v>
      </c>
      <c r="B445" s="3">
        <v>45912</v>
      </c>
      <c r="C445" t="s">
        <v>110</v>
      </c>
      <c r="D445" t="s">
        <v>33</v>
      </c>
      <c r="E445" t="s">
        <v>452</v>
      </c>
      <c r="F445" t="s">
        <v>453</v>
      </c>
      <c r="G445" s="4">
        <v>84145120</v>
      </c>
      <c r="H445">
        <v>7</v>
      </c>
      <c r="I445">
        <v>1906.77</v>
      </c>
      <c r="J445" s="4">
        <f t="shared" si="24"/>
        <v>13347.39</v>
      </c>
      <c r="K445">
        <f t="shared" si="25"/>
        <v>1201.2650999999998</v>
      </c>
      <c r="L445">
        <f t="shared" si="26"/>
        <v>1201.2650999999998</v>
      </c>
      <c r="M445">
        <f t="shared" si="27"/>
        <v>15749.9</v>
      </c>
    </row>
    <row r="446" spans="1:13" x14ac:dyDescent="0.25">
      <c r="A446" s="4">
        <v>846</v>
      </c>
      <c r="B446" s="3">
        <v>45912</v>
      </c>
      <c r="C446" t="s">
        <v>110</v>
      </c>
      <c r="D446" t="s">
        <v>81</v>
      </c>
      <c r="E446" t="s">
        <v>452</v>
      </c>
      <c r="F446" t="s">
        <v>453</v>
      </c>
      <c r="G446" s="4">
        <v>84145120</v>
      </c>
      <c r="H446">
        <v>2</v>
      </c>
      <c r="I446">
        <v>1906.7</v>
      </c>
      <c r="J446" s="4">
        <f t="shared" si="24"/>
        <v>3813.4</v>
      </c>
      <c r="K446">
        <f t="shared" si="25"/>
        <v>343.20600000000002</v>
      </c>
      <c r="L446">
        <f t="shared" si="26"/>
        <v>343.20600000000002</v>
      </c>
      <c r="M446">
        <f t="shared" si="27"/>
        <v>4499.8</v>
      </c>
    </row>
    <row r="447" spans="1:13" x14ac:dyDescent="0.25">
      <c r="A447" s="4">
        <v>846</v>
      </c>
      <c r="B447" s="3">
        <v>45912</v>
      </c>
      <c r="C447" t="s">
        <v>110</v>
      </c>
      <c r="D447" t="s">
        <v>87</v>
      </c>
      <c r="E447" t="s">
        <v>452</v>
      </c>
      <c r="F447" t="s">
        <v>453</v>
      </c>
      <c r="G447" s="4">
        <v>84145120</v>
      </c>
      <c r="H447">
        <v>1</v>
      </c>
      <c r="I447">
        <v>1906.77</v>
      </c>
      <c r="J447" s="4">
        <f t="shared" si="24"/>
        <v>1906.77</v>
      </c>
      <c r="K447">
        <f t="shared" si="25"/>
        <v>171.60929999999999</v>
      </c>
      <c r="L447">
        <f t="shared" si="26"/>
        <v>171.60929999999999</v>
      </c>
      <c r="M447">
        <f t="shared" si="27"/>
        <v>2250</v>
      </c>
    </row>
    <row r="448" spans="1:13" x14ac:dyDescent="0.25">
      <c r="A448" s="4">
        <v>846</v>
      </c>
      <c r="B448" s="3">
        <v>45912</v>
      </c>
      <c r="C448" t="s">
        <v>110</v>
      </c>
      <c r="D448" t="s">
        <v>90</v>
      </c>
      <c r="E448" t="s">
        <v>452</v>
      </c>
      <c r="F448" t="s">
        <v>453</v>
      </c>
      <c r="G448" s="4">
        <v>84145120</v>
      </c>
      <c r="H448">
        <v>2</v>
      </c>
      <c r="I448">
        <v>1906.7</v>
      </c>
      <c r="J448" s="4">
        <f t="shared" si="24"/>
        <v>3813.4</v>
      </c>
      <c r="K448">
        <f t="shared" si="25"/>
        <v>343.20600000000002</v>
      </c>
      <c r="L448">
        <f t="shared" si="26"/>
        <v>343.20600000000002</v>
      </c>
      <c r="M448">
        <f t="shared" si="27"/>
        <v>4499.8</v>
      </c>
    </row>
    <row r="449" spans="1:13" x14ac:dyDescent="0.25">
      <c r="A449" s="4">
        <v>846</v>
      </c>
      <c r="B449" s="3">
        <v>45912</v>
      </c>
      <c r="C449" t="s">
        <v>110</v>
      </c>
      <c r="D449" t="s">
        <v>111</v>
      </c>
      <c r="E449" t="s">
        <v>452</v>
      </c>
      <c r="F449" t="s">
        <v>453</v>
      </c>
      <c r="G449" s="4">
        <v>84145120</v>
      </c>
      <c r="H449">
        <v>1</v>
      </c>
      <c r="I449">
        <v>2983.05</v>
      </c>
      <c r="J449" s="4">
        <f t="shared" si="24"/>
        <v>2983.05</v>
      </c>
      <c r="K449">
        <f t="shared" si="25"/>
        <v>268.47450000000003</v>
      </c>
      <c r="L449">
        <f t="shared" si="26"/>
        <v>268.47450000000003</v>
      </c>
      <c r="M449">
        <f t="shared" si="27"/>
        <v>3520</v>
      </c>
    </row>
    <row r="450" spans="1:13" x14ac:dyDescent="0.25">
      <c r="A450" s="4">
        <v>1201</v>
      </c>
      <c r="B450" s="3">
        <v>45909</v>
      </c>
      <c r="C450" t="s">
        <v>10</v>
      </c>
      <c r="D450" t="s">
        <v>11</v>
      </c>
      <c r="E450" t="s">
        <v>452</v>
      </c>
      <c r="F450" t="s">
        <v>454</v>
      </c>
      <c r="G450" s="4">
        <v>94054900</v>
      </c>
      <c r="H450">
        <v>20</v>
      </c>
      <c r="I450">
        <v>43.22</v>
      </c>
      <c r="J450" s="4">
        <f t="shared" si="24"/>
        <v>864.4</v>
      </c>
      <c r="K450">
        <f t="shared" si="25"/>
        <v>77.795999999999992</v>
      </c>
      <c r="L450">
        <f t="shared" si="26"/>
        <v>77.795999999999992</v>
      </c>
      <c r="M450">
        <f t="shared" si="27"/>
        <v>1020</v>
      </c>
    </row>
    <row r="451" spans="1:13" x14ac:dyDescent="0.25">
      <c r="A451" s="4">
        <v>1202</v>
      </c>
      <c r="B451" s="3">
        <v>45909</v>
      </c>
      <c r="C451" t="s">
        <v>12</v>
      </c>
      <c r="D451" t="s">
        <v>13</v>
      </c>
      <c r="E451" t="s">
        <v>452</v>
      </c>
      <c r="F451" t="s">
        <v>454</v>
      </c>
      <c r="G451" s="4">
        <v>94054900</v>
      </c>
      <c r="H451" s="4">
        <v>40</v>
      </c>
      <c r="I451" s="4">
        <v>72.03</v>
      </c>
      <c r="J451" s="4">
        <f t="shared" ref="J451:J513" si="28">I451*H451</f>
        <v>2881.2</v>
      </c>
      <c r="K451">
        <f t="shared" ref="K451:K513" si="29">J451*0.09</f>
        <v>259.30799999999999</v>
      </c>
      <c r="L451">
        <f t="shared" ref="L451:L513" si="30">K451</f>
        <v>259.30799999999999</v>
      </c>
      <c r="M451">
        <f t="shared" ref="M451:M513" si="31">ROUND(J451*1.18,1)</f>
        <v>3399.8</v>
      </c>
    </row>
    <row r="452" spans="1:13" x14ac:dyDescent="0.25">
      <c r="A452" s="4">
        <v>1202</v>
      </c>
      <c r="B452" s="3">
        <v>45909</v>
      </c>
      <c r="C452" t="s">
        <v>12</v>
      </c>
      <c r="D452" t="s">
        <v>14</v>
      </c>
      <c r="E452" t="s">
        <v>452</v>
      </c>
      <c r="F452" t="s">
        <v>454</v>
      </c>
      <c r="G452" s="4">
        <v>94054900</v>
      </c>
      <c r="H452" s="4">
        <v>10</v>
      </c>
      <c r="I452" s="4">
        <v>61.86</v>
      </c>
      <c r="J452" s="4">
        <f t="shared" si="28"/>
        <v>618.6</v>
      </c>
      <c r="K452">
        <f t="shared" si="29"/>
        <v>55.673999999999999</v>
      </c>
      <c r="L452">
        <f t="shared" si="30"/>
        <v>55.673999999999999</v>
      </c>
      <c r="M452">
        <f t="shared" si="31"/>
        <v>729.9</v>
      </c>
    </row>
    <row r="453" spans="1:13" x14ac:dyDescent="0.25">
      <c r="A453" s="4">
        <v>1202</v>
      </c>
      <c r="B453" s="3">
        <v>45909</v>
      </c>
      <c r="C453" t="s">
        <v>12</v>
      </c>
      <c r="D453" t="s">
        <v>15</v>
      </c>
      <c r="E453" t="s">
        <v>452</v>
      </c>
      <c r="F453" t="s">
        <v>454</v>
      </c>
      <c r="G453" s="4">
        <v>94054900</v>
      </c>
      <c r="H453" s="4">
        <v>10</v>
      </c>
      <c r="I453" s="4">
        <v>106.77</v>
      </c>
      <c r="J453" s="4">
        <f t="shared" si="28"/>
        <v>1067.7</v>
      </c>
      <c r="K453">
        <f t="shared" si="29"/>
        <v>96.093000000000004</v>
      </c>
      <c r="L453">
        <f t="shared" si="30"/>
        <v>96.093000000000004</v>
      </c>
      <c r="M453">
        <f t="shared" si="31"/>
        <v>1259.9000000000001</v>
      </c>
    </row>
    <row r="454" spans="1:13" x14ac:dyDescent="0.25">
      <c r="A454" s="4">
        <v>1202</v>
      </c>
      <c r="B454" s="3">
        <v>45909</v>
      </c>
      <c r="C454" t="s">
        <v>12</v>
      </c>
      <c r="D454" t="s">
        <v>16</v>
      </c>
      <c r="E454" t="s">
        <v>452</v>
      </c>
      <c r="F454" t="s">
        <v>454</v>
      </c>
      <c r="G454" s="4">
        <v>94054900</v>
      </c>
      <c r="H454" s="4">
        <v>5</v>
      </c>
      <c r="I454" s="4">
        <v>184.74</v>
      </c>
      <c r="J454" s="4">
        <f t="shared" si="28"/>
        <v>923.7</v>
      </c>
      <c r="K454">
        <f t="shared" si="29"/>
        <v>83.132999999999996</v>
      </c>
      <c r="L454">
        <f t="shared" si="30"/>
        <v>83.132999999999996</v>
      </c>
      <c r="M454">
        <f t="shared" si="31"/>
        <v>1090</v>
      </c>
    </row>
    <row r="455" spans="1:13" x14ac:dyDescent="0.25">
      <c r="A455" s="4">
        <v>1203</v>
      </c>
      <c r="B455" s="3">
        <v>45909</v>
      </c>
      <c r="C455" t="s">
        <v>17</v>
      </c>
      <c r="D455" t="s">
        <v>15</v>
      </c>
      <c r="E455" t="s">
        <v>452</v>
      </c>
      <c r="F455" t="s">
        <v>454</v>
      </c>
      <c r="G455" s="4">
        <v>94054900</v>
      </c>
      <c r="H455" s="4">
        <v>5</v>
      </c>
      <c r="I455" s="4">
        <v>106.78</v>
      </c>
      <c r="J455" s="4">
        <f t="shared" si="28"/>
        <v>533.9</v>
      </c>
      <c r="K455">
        <f t="shared" si="29"/>
        <v>48.050999999999995</v>
      </c>
      <c r="L455">
        <f t="shared" si="30"/>
        <v>48.050999999999995</v>
      </c>
      <c r="M455">
        <f t="shared" si="31"/>
        <v>630</v>
      </c>
    </row>
    <row r="456" spans="1:13" x14ac:dyDescent="0.25">
      <c r="A456" s="4">
        <v>1203</v>
      </c>
      <c r="B456" s="3">
        <v>45909</v>
      </c>
      <c r="C456" t="s">
        <v>17</v>
      </c>
      <c r="D456" t="s">
        <v>18</v>
      </c>
      <c r="E456" t="s">
        <v>452</v>
      </c>
      <c r="F456" t="s">
        <v>454</v>
      </c>
      <c r="G456" s="4">
        <v>94054900</v>
      </c>
      <c r="H456" s="4">
        <v>2</v>
      </c>
      <c r="I456" s="4">
        <v>268.64</v>
      </c>
      <c r="J456" s="4">
        <f t="shared" si="28"/>
        <v>537.28</v>
      </c>
      <c r="K456">
        <f t="shared" si="29"/>
        <v>48.355199999999996</v>
      </c>
      <c r="L456">
        <f t="shared" si="30"/>
        <v>48.355199999999996</v>
      </c>
      <c r="M456">
        <f t="shared" si="31"/>
        <v>634</v>
      </c>
    </row>
    <row r="457" spans="1:13" x14ac:dyDescent="0.25">
      <c r="A457" s="4">
        <v>1203</v>
      </c>
      <c r="B457" s="3">
        <v>45909</v>
      </c>
      <c r="C457" t="s">
        <v>17</v>
      </c>
      <c r="D457" t="s">
        <v>14</v>
      </c>
      <c r="E457" t="s">
        <v>452</v>
      </c>
      <c r="F457" t="s">
        <v>454</v>
      </c>
      <c r="G457" s="4">
        <v>94054900</v>
      </c>
      <c r="H457" s="4">
        <v>5</v>
      </c>
      <c r="I457" s="4">
        <v>193.22</v>
      </c>
      <c r="J457" s="4">
        <f t="shared" si="28"/>
        <v>966.1</v>
      </c>
      <c r="K457">
        <f t="shared" si="29"/>
        <v>86.948999999999998</v>
      </c>
      <c r="L457">
        <f t="shared" si="30"/>
        <v>86.948999999999998</v>
      </c>
      <c r="M457">
        <f t="shared" si="31"/>
        <v>1140</v>
      </c>
    </row>
    <row r="458" spans="1:13" x14ac:dyDescent="0.25">
      <c r="A458" s="4">
        <v>1203</v>
      </c>
      <c r="B458" s="3">
        <v>45909</v>
      </c>
      <c r="C458" t="s">
        <v>17</v>
      </c>
      <c r="D458" t="s">
        <v>19</v>
      </c>
      <c r="E458" t="s">
        <v>452</v>
      </c>
      <c r="F458" t="s">
        <v>454</v>
      </c>
      <c r="G458" s="4">
        <v>94054900</v>
      </c>
      <c r="H458" s="4">
        <v>1</v>
      </c>
      <c r="I458" s="4">
        <v>110.17</v>
      </c>
      <c r="J458" s="4">
        <f t="shared" si="28"/>
        <v>110.17</v>
      </c>
      <c r="K458">
        <f t="shared" si="29"/>
        <v>9.9153000000000002</v>
      </c>
      <c r="L458">
        <f t="shared" si="30"/>
        <v>9.9153000000000002</v>
      </c>
      <c r="M458">
        <f t="shared" si="31"/>
        <v>130</v>
      </c>
    </row>
    <row r="459" spans="1:13" x14ac:dyDescent="0.25">
      <c r="A459" s="4">
        <v>1204</v>
      </c>
      <c r="B459" s="3">
        <v>45909</v>
      </c>
      <c r="C459" t="s">
        <v>20</v>
      </c>
      <c r="D459" t="s">
        <v>21</v>
      </c>
      <c r="E459" t="s">
        <v>452</v>
      </c>
      <c r="F459" t="s">
        <v>454</v>
      </c>
      <c r="G459" s="4">
        <v>94054900</v>
      </c>
      <c r="H459">
        <v>10</v>
      </c>
      <c r="I459">
        <v>114.41</v>
      </c>
      <c r="J459" s="4">
        <f t="shared" si="28"/>
        <v>1144.0999999999999</v>
      </c>
      <c r="K459">
        <f t="shared" si="29"/>
        <v>102.96899999999999</v>
      </c>
      <c r="L459">
        <f t="shared" si="30"/>
        <v>102.96899999999999</v>
      </c>
      <c r="M459">
        <f t="shared" si="31"/>
        <v>1350</v>
      </c>
    </row>
    <row r="460" spans="1:13" x14ac:dyDescent="0.25">
      <c r="A460" s="4">
        <v>1206</v>
      </c>
      <c r="B460" s="3">
        <v>45909</v>
      </c>
      <c r="C460" t="s">
        <v>22</v>
      </c>
      <c r="D460" t="s">
        <v>13</v>
      </c>
      <c r="E460" t="s">
        <v>452</v>
      </c>
      <c r="F460" t="s">
        <v>454</v>
      </c>
      <c r="G460" s="4">
        <v>94054900</v>
      </c>
      <c r="H460">
        <v>20</v>
      </c>
      <c r="I460">
        <v>72.03</v>
      </c>
      <c r="J460" s="4">
        <f t="shared" si="28"/>
        <v>1440.6</v>
      </c>
      <c r="K460">
        <f t="shared" si="29"/>
        <v>129.654</v>
      </c>
      <c r="L460">
        <f t="shared" si="30"/>
        <v>129.654</v>
      </c>
      <c r="M460">
        <f t="shared" si="31"/>
        <v>1699.9</v>
      </c>
    </row>
    <row r="461" spans="1:13" x14ac:dyDescent="0.25">
      <c r="A461" s="4">
        <v>1206</v>
      </c>
      <c r="B461" s="3">
        <v>45909</v>
      </c>
      <c r="C461" t="s">
        <v>22</v>
      </c>
      <c r="D461" t="s">
        <v>21</v>
      </c>
      <c r="E461" t="s">
        <v>452</v>
      </c>
      <c r="F461" t="s">
        <v>454</v>
      </c>
      <c r="G461" s="4">
        <v>94054900</v>
      </c>
      <c r="H461">
        <v>10</v>
      </c>
      <c r="I461">
        <v>114.41</v>
      </c>
      <c r="J461" s="4">
        <f t="shared" si="28"/>
        <v>1144.0999999999999</v>
      </c>
      <c r="K461">
        <f t="shared" si="29"/>
        <v>102.96899999999999</v>
      </c>
      <c r="L461">
        <f t="shared" si="30"/>
        <v>102.96899999999999</v>
      </c>
      <c r="M461">
        <f t="shared" si="31"/>
        <v>1350</v>
      </c>
    </row>
    <row r="462" spans="1:13" x14ac:dyDescent="0.25">
      <c r="A462" s="4">
        <v>1206</v>
      </c>
      <c r="B462" s="3">
        <v>45909</v>
      </c>
      <c r="C462" t="s">
        <v>22</v>
      </c>
      <c r="D462" t="s">
        <v>16</v>
      </c>
      <c r="E462" t="s">
        <v>452</v>
      </c>
      <c r="F462" t="s">
        <v>454</v>
      </c>
      <c r="G462" s="4">
        <v>94054900</v>
      </c>
      <c r="H462">
        <v>6</v>
      </c>
      <c r="I462">
        <v>184.75</v>
      </c>
      <c r="J462" s="4">
        <f t="shared" si="28"/>
        <v>1108.5</v>
      </c>
      <c r="K462">
        <f t="shared" si="29"/>
        <v>99.765000000000001</v>
      </c>
      <c r="L462">
        <f t="shared" si="30"/>
        <v>99.765000000000001</v>
      </c>
      <c r="M462">
        <f t="shared" si="31"/>
        <v>1308</v>
      </c>
    </row>
    <row r="463" spans="1:13" x14ac:dyDescent="0.25">
      <c r="A463" s="4">
        <v>1206</v>
      </c>
      <c r="B463" s="3">
        <v>45909</v>
      </c>
      <c r="C463" t="s">
        <v>22</v>
      </c>
      <c r="D463" t="s">
        <v>23</v>
      </c>
      <c r="E463" t="s">
        <v>452</v>
      </c>
      <c r="F463" t="s">
        <v>454</v>
      </c>
      <c r="G463" s="4">
        <v>94054900</v>
      </c>
      <c r="H463">
        <v>6</v>
      </c>
      <c r="I463">
        <v>383.05</v>
      </c>
      <c r="J463" s="4">
        <f t="shared" si="28"/>
        <v>2298.3000000000002</v>
      </c>
      <c r="K463">
        <f t="shared" si="29"/>
        <v>206.84700000000001</v>
      </c>
      <c r="L463">
        <f t="shared" si="30"/>
        <v>206.84700000000001</v>
      </c>
      <c r="M463">
        <f t="shared" si="31"/>
        <v>2712</v>
      </c>
    </row>
    <row r="464" spans="1:13" x14ac:dyDescent="0.25">
      <c r="A464" s="4">
        <v>1206</v>
      </c>
      <c r="B464" s="3">
        <v>45909</v>
      </c>
      <c r="C464" t="s">
        <v>22</v>
      </c>
      <c r="D464" t="s">
        <v>24</v>
      </c>
      <c r="E464" t="s">
        <v>452</v>
      </c>
      <c r="F464" t="s">
        <v>454</v>
      </c>
      <c r="G464" s="4">
        <v>94054900</v>
      </c>
      <c r="H464">
        <v>4</v>
      </c>
      <c r="I464">
        <v>218.64</v>
      </c>
      <c r="J464" s="4">
        <f t="shared" si="28"/>
        <v>874.56</v>
      </c>
      <c r="K464">
        <f t="shared" si="29"/>
        <v>78.710399999999993</v>
      </c>
      <c r="L464">
        <f t="shared" si="30"/>
        <v>78.710399999999993</v>
      </c>
      <c r="M464">
        <f t="shared" si="31"/>
        <v>1032</v>
      </c>
    </row>
    <row r="465" spans="1:13" x14ac:dyDescent="0.25">
      <c r="A465" s="4">
        <v>1206</v>
      </c>
      <c r="B465" s="3">
        <v>45909</v>
      </c>
      <c r="C465" t="s">
        <v>22</v>
      </c>
      <c r="D465" t="s">
        <v>18</v>
      </c>
      <c r="E465" t="s">
        <v>452</v>
      </c>
      <c r="F465" t="s">
        <v>454</v>
      </c>
      <c r="G465" s="4">
        <v>94054900</v>
      </c>
      <c r="H465">
        <v>4</v>
      </c>
      <c r="I465">
        <v>268.64</v>
      </c>
      <c r="J465" s="4">
        <f t="shared" si="28"/>
        <v>1074.56</v>
      </c>
      <c r="K465">
        <f t="shared" si="29"/>
        <v>96.710399999999993</v>
      </c>
      <c r="L465">
        <f t="shared" si="30"/>
        <v>96.710399999999993</v>
      </c>
      <c r="M465">
        <f t="shared" si="31"/>
        <v>1268</v>
      </c>
    </row>
    <row r="466" spans="1:13" x14ac:dyDescent="0.25">
      <c r="A466" s="4">
        <v>1207</v>
      </c>
      <c r="B466" s="3">
        <v>45909</v>
      </c>
      <c r="C466" t="s">
        <v>25</v>
      </c>
      <c r="D466" t="s">
        <v>13</v>
      </c>
      <c r="E466" t="s">
        <v>452</v>
      </c>
      <c r="F466" t="s">
        <v>454</v>
      </c>
      <c r="G466" s="4">
        <v>94054900</v>
      </c>
      <c r="H466">
        <v>40</v>
      </c>
      <c r="I466">
        <v>72.03</v>
      </c>
      <c r="J466" s="4">
        <f t="shared" si="28"/>
        <v>2881.2</v>
      </c>
      <c r="K466">
        <f t="shared" si="29"/>
        <v>259.30799999999999</v>
      </c>
      <c r="L466">
        <f t="shared" si="30"/>
        <v>259.30799999999999</v>
      </c>
      <c r="M466">
        <f t="shared" si="31"/>
        <v>3399.8</v>
      </c>
    </row>
    <row r="467" spans="1:13" x14ac:dyDescent="0.25">
      <c r="A467" s="4">
        <v>1207</v>
      </c>
      <c r="B467" s="3">
        <v>45909</v>
      </c>
      <c r="C467" t="s">
        <v>25</v>
      </c>
      <c r="D467" t="s">
        <v>26</v>
      </c>
      <c r="E467" t="s">
        <v>452</v>
      </c>
      <c r="F467" t="s">
        <v>454</v>
      </c>
      <c r="G467" s="4">
        <v>94054900</v>
      </c>
      <c r="H467">
        <v>10</v>
      </c>
      <c r="I467">
        <v>48.31</v>
      </c>
      <c r="J467" s="4">
        <f t="shared" si="28"/>
        <v>483.1</v>
      </c>
      <c r="K467">
        <f t="shared" si="29"/>
        <v>43.478999999999999</v>
      </c>
      <c r="L467">
        <f t="shared" si="30"/>
        <v>43.478999999999999</v>
      </c>
      <c r="M467">
        <f t="shared" si="31"/>
        <v>570.1</v>
      </c>
    </row>
    <row r="468" spans="1:13" x14ac:dyDescent="0.25">
      <c r="A468" s="4">
        <v>1207</v>
      </c>
      <c r="B468" s="3">
        <v>45909</v>
      </c>
      <c r="C468" t="s">
        <v>25</v>
      </c>
      <c r="D468" t="s">
        <v>14</v>
      </c>
      <c r="E468" t="s">
        <v>452</v>
      </c>
      <c r="F468" t="s">
        <v>454</v>
      </c>
      <c r="G468" s="4">
        <v>94054900</v>
      </c>
      <c r="H468">
        <v>10</v>
      </c>
      <c r="I468">
        <v>64.41</v>
      </c>
      <c r="J468" s="4">
        <f t="shared" si="28"/>
        <v>644.09999999999991</v>
      </c>
      <c r="K468">
        <f t="shared" si="29"/>
        <v>57.968999999999987</v>
      </c>
      <c r="L468">
        <f t="shared" si="30"/>
        <v>57.968999999999987</v>
      </c>
      <c r="M468">
        <f t="shared" si="31"/>
        <v>760</v>
      </c>
    </row>
    <row r="469" spans="1:13" x14ac:dyDescent="0.25">
      <c r="A469" s="4">
        <v>1207</v>
      </c>
      <c r="B469" s="3">
        <v>45909</v>
      </c>
      <c r="C469" t="s">
        <v>25</v>
      </c>
      <c r="D469" t="s">
        <v>15</v>
      </c>
      <c r="E469" t="s">
        <v>452</v>
      </c>
      <c r="F469" t="s">
        <v>454</v>
      </c>
      <c r="G469" s="4">
        <v>94054900</v>
      </c>
      <c r="H469">
        <v>10</v>
      </c>
      <c r="I469">
        <v>106.78</v>
      </c>
      <c r="J469" s="4">
        <f t="shared" si="28"/>
        <v>1067.8</v>
      </c>
      <c r="K469">
        <f t="shared" si="29"/>
        <v>96.10199999999999</v>
      </c>
      <c r="L469">
        <f t="shared" si="30"/>
        <v>96.10199999999999</v>
      </c>
      <c r="M469">
        <f t="shared" si="31"/>
        <v>1260</v>
      </c>
    </row>
    <row r="470" spans="1:13" x14ac:dyDescent="0.25">
      <c r="A470" s="4">
        <v>1207</v>
      </c>
      <c r="B470" s="3">
        <v>45909</v>
      </c>
      <c r="C470" t="s">
        <v>25</v>
      </c>
      <c r="D470" t="s">
        <v>27</v>
      </c>
      <c r="E470" t="s">
        <v>452</v>
      </c>
      <c r="F470" t="s">
        <v>454</v>
      </c>
      <c r="G470" s="4">
        <v>94054900</v>
      </c>
      <c r="H470">
        <v>12</v>
      </c>
      <c r="I470">
        <v>193.22</v>
      </c>
      <c r="J470" s="4">
        <f t="shared" si="28"/>
        <v>2318.64</v>
      </c>
      <c r="K470">
        <f t="shared" si="29"/>
        <v>208.67759999999998</v>
      </c>
      <c r="L470">
        <f t="shared" si="30"/>
        <v>208.67759999999998</v>
      </c>
      <c r="M470">
        <f t="shared" si="31"/>
        <v>2736</v>
      </c>
    </row>
    <row r="471" spans="1:13" x14ac:dyDescent="0.25">
      <c r="A471" s="4">
        <v>1207</v>
      </c>
      <c r="B471" s="3">
        <v>45909</v>
      </c>
      <c r="C471" t="s">
        <v>25</v>
      </c>
      <c r="D471" t="s">
        <v>16</v>
      </c>
      <c r="E471" t="s">
        <v>452</v>
      </c>
      <c r="F471" t="s">
        <v>454</v>
      </c>
      <c r="G471" s="4">
        <v>94054900</v>
      </c>
      <c r="H471">
        <v>10</v>
      </c>
      <c r="I471">
        <v>184.75</v>
      </c>
      <c r="J471" s="4">
        <f t="shared" si="28"/>
        <v>1847.5</v>
      </c>
      <c r="K471">
        <f t="shared" si="29"/>
        <v>166.27500000000001</v>
      </c>
      <c r="L471">
        <f t="shared" si="30"/>
        <v>166.27500000000001</v>
      </c>
      <c r="M471">
        <f t="shared" si="31"/>
        <v>2180.1</v>
      </c>
    </row>
    <row r="472" spans="1:13" x14ac:dyDescent="0.25">
      <c r="A472" s="4">
        <v>1208</v>
      </c>
      <c r="B472" s="3">
        <v>45909</v>
      </c>
      <c r="C472" t="s">
        <v>28</v>
      </c>
      <c r="D472" t="s">
        <v>13</v>
      </c>
      <c r="E472" t="s">
        <v>452</v>
      </c>
      <c r="F472" t="s">
        <v>454</v>
      </c>
      <c r="G472" s="4">
        <v>94054900</v>
      </c>
      <c r="H472">
        <v>20</v>
      </c>
      <c r="I472">
        <v>72.03</v>
      </c>
      <c r="J472" s="4">
        <f t="shared" si="28"/>
        <v>1440.6</v>
      </c>
      <c r="K472">
        <f t="shared" si="29"/>
        <v>129.654</v>
      </c>
      <c r="L472">
        <f t="shared" si="30"/>
        <v>129.654</v>
      </c>
      <c r="M472">
        <f t="shared" si="31"/>
        <v>1699.9</v>
      </c>
    </row>
    <row r="473" spans="1:13" x14ac:dyDescent="0.25">
      <c r="A473" s="4">
        <v>1208</v>
      </c>
      <c r="B473" s="3">
        <v>45909</v>
      </c>
      <c r="C473" t="s">
        <v>28</v>
      </c>
      <c r="D473" t="s">
        <v>26</v>
      </c>
      <c r="E473" t="s">
        <v>452</v>
      </c>
      <c r="F473" t="s">
        <v>454</v>
      </c>
      <c r="G473" s="4">
        <v>94054900</v>
      </c>
      <c r="H473">
        <v>20</v>
      </c>
      <c r="I473">
        <v>48.31</v>
      </c>
      <c r="J473" s="4">
        <f t="shared" si="28"/>
        <v>966.2</v>
      </c>
      <c r="K473">
        <f t="shared" si="29"/>
        <v>86.957999999999998</v>
      </c>
      <c r="L473">
        <f t="shared" si="30"/>
        <v>86.957999999999998</v>
      </c>
      <c r="M473">
        <f t="shared" si="31"/>
        <v>1140.0999999999999</v>
      </c>
    </row>
    <row r="474" spans="1:13" x14ac:dyDescent="0.25">
      <c r="A474" s="4">
        <v>1209</v>
      </c>
      <c r="B474" s="3">
        <v>45909</v>
      </c>
      <c r="C474" t="s">
        <v>29</v>
      </c>
      <c r="D474" t="s">
        <v>24</v>
      </c>
      <c r="E474" t="s">
        <v>452</v>
      </c>
      <c r="F474" t="s">
        <v>454</v>
      </c>
      <c r="G474" s="4">
        <v>94054900</v>
      </c>
      <c r="H474" s="4">
        <v>10</v>
      </c>
      <c r="I474" s="4">
        <v>218.64</v>
      </c>
      <c r="J474" s="4">
        <f t="shared" si="28"/>
        <v>2186.3999999999996</v>
      </c>
      <c r="K474">
        <f t="shared" si="29"/>
        <v>196.77599999999995</v>
      </c>
      <c r="L474">
        <f t="shared" si="30"/>
        <v>196.77599999999995</v>
      </c>
      <c r="M474">
        <f t="shared" si="31"/>
        <v>2580</v>
      </c>
    </row>
    <row r="475" spans="1:13" x14ac:dyDescent="0.25">
      <c r="A475" s="4">
        <v>1209</v>
      </c>
      <c r="B475" s="3">
        <v>45909</v>
      </c>
      <c r="C475" t="s">
        <v>29</v>
      </c>
      <c r="D475" t="s">
        <v>18</v>
      </c>
      <c r="E475" t="s">
        <v>452</v>
      </c>
      <c r="F475" t="s">
        <v>454</v>
      </c>
      <c r="G475" s="4">
        <v>94054900</v>
      </c>
      <c r="H475" s="4">
        <v>5</v>
      </c>
      <c r="I475" s="4">
        <v>268.64</v>
      </c>
      <c r="J475" s="4">
        <f t="shared" si="28"/>
        <v>1343.1999999999998</v>
      </c>
      <c r="K475">
        <f t="shared" si="29"/>
        <v>120.88799999999998</v>
      </c>
      <c r="L475">
        <f t="shared" si="30"/>
        <v>120.88799999999998</v>
      </c>
      <c r="M475">
        <f t="shared" si="31"/>
        <v>1585</v>
      </c>
    </row>
    <row r="476" spans="1:13" x14ac:dyDescent="0.25">
      <c r="A476" s="4">
        <v>1211</v>
      </c>
      <c r="B476" s="3">
        <v>45909</v>
      </c>
      <c r="C476" t="s">
        <v>31</v>
      </c>
      <c r="D476" t="s">
        <v>32</v>
      </c>
      <c r="E476" t="s">
        <v>452</v>
      </c>
      <c r="F476" t="s">
        <v>454</v>
      </c>
      <c r="G476" s="4">
        <v>94054900</v>
      </c>
      <c r="H476">
        <v>6</v>
      </c>
      <c r="I476">
        <v>474.58</v>
      </c>
      <c r="J476" s="4">
        <f t="shared" si="28"/>
        <v>2847.48</v>
      </c>
      <c r="K476">
        <f t="shared" si="29"/>
        <v>256.27319999999997</v>
      </c>
      <c r="L476">
        <f t="shared" si="30"/>
        <v>256.27319999999997</v>
      </c>
      <c r="M476">
        <f t="shared" si="31"/>
        <v>3360</v>
      </c>
    </row>
    <row r="477" spans="1:13" x14ac:dyDescent="0.25">
      <c r="A477" s="4">
        <v>1211</v>
      </c>
      <c r="B477" s="3">
        <v>45909</v>
      </c>
      <c r="C477" t="s">
        <v>31</v>
      </c>
      <c r="D477" t="s">
        <v>13</v>
      </c>
      <c r="E477" t="s">
        <v>452</v>
      </c>
      <c r="F477" t="s">
        <v>454</v>
      </c>
      <c r="G477" s="4">
        <v>94054900</v>
      </c>
      <c r="H477">
        <v>20</v>
      </c>
      <c r="I477">
        <v>72.03</v>
      </c>
      <c r="J477" s="4">
        <f t="shared" si="28"/>
        <v>1440.6</v>
      </c>
      <c r="K477">
        <f t="shared" si="29"/>
        <v>129.654</v>
      </c>
      <c r="L477">
        <f t="shared" si="30"/>
        <v>129.654</v>
      </c>
      <c r="M477">
        <f t="shared" si="31"/>
        <v>1699.9</v>
      </c>
    </row>
    <row r="478" spans="1:13" x14ac:dyDescent="0.25">
      <c r="A478" s="4">
        <v>1211</v>
      </c>
      <c r="B478" s="3">
        <v>45909</v>
      </c>
      <c r="C478" t="s">
        <v>31</v>
      </c>
      <c r="D478" t="s">
        <v>33</v>
      </c>
      <c r="E478" t="s">
        <v>452</v>
      </c>
      <c r="F478" t="s">
        <v>453</v>
      </c>
      <c r="G478" s="4">
        <v>84145120</v>
      </c>
      <c r="H478">
        <v>1</v>
      </c>
      <c r="I478">
        <v>1906.78</v>
      </c>
      <c r="J478" s="4">
        <f t="shared" si="28"/>
        <v>1906.78</v>
      </c>
      <c r="K478">
        <f t="shared" si="29"/>
        <v>171.61019999999999</v>
      </c>
      <c r="L478">
        <f t="shared" si="30"/>
        <v>171.61019999999999</v>
      </c>
      <c r="M478">
        <f t="shared" si="31"/>
        <v>2250</v>
      </c>
    </row>
    <row r="479" spans="1:13" x14ac:dyDescent="0.25">
      <c r="A479" s="4">
        <v>830</v>
      </c>
      <c r="B479" s="3">
        <v>45907</v>
      </c>
      <c r="C479" t="s">
        <v>100</v>
      </c>
      <c r="D479" t="s">
        <v>43</v>
      </c>
      <c r="E479" t="s">
        <v>452</v>
      </c>
      <c r="F479" t="s">
        <v>454</v>
      </c>
      <c r="G479" s="4">
        <v>94054900</v>
      </c>
      <c r="H479">
        <v>200</v>
      </c>
      <c r="I479">
        <v>21.19</v>
      </c>
      <c r="J479" s="4">
        <f t="shared" si="28"/>
        <v>4238</v>
      </c>
      <c r="K479">
        <f t="shared" si="29"/>
        <v>381.41999999999996</v>
      </c>
      <c r="L479">
        <f t="shared" si="30"/>
        <v>381.41999999999996</v>
      </c>
      <c r="M479">
        <f t="shared" si="31"/>
        <v>5000.8</v>
      </c>
    </row>
    <row r="480" spans="1:13" x14ac:dyDescent="0.25">
      <c r="A480" s="4">
        <v>841</v>
      </c>
      <c r="B480" s="3">
        <v>45903</v>
      </c>
      <c r="C480" t="s">
        <v>106</v>
      </c>
      <c r="D480" t="s">
        <v>33</v>
      </c>
      <c r="E480" t="s">
        <v>452</v>
      </c>
      <c r="F480" t="s">
        <v>453</v>
      </c>
      <c r="G480" s="4">
        <v>84145120</v>
      </c>
      <c r="H480" s="4">
        <v>3</v>
      </c>
      <c r="I480" s="4">
        <v>1906.77</v>
      </c>
      <c r="J480" s="4">
        <f t="shared" si="28"/>
        <v>5720.3099999999995</v>
      </c>
      <c r="K480">
        <f t="shared" si="29"/>
        <v>514.82789999999989</v>
      </c>
      <c r="L480">
        <f t="shared" si="30"/>
        <v>514.82789999999989</v>
      </c>
      <c r="M480">
        <f t="shared" si="31"/>
        <v>6750</v>
      </c>
    </row>
    <row r="481" spans="1:13" x14ac:dyDescent="0.25">
      <c r="A481" s="4">
        <v>841</v>
      </c>
      <c r="B481" s="3">
        <v>45903</v>
      </c>
      <c r="C481" t="s">
        <v>106</v>
      </c>
      <c r="D481" t="s">
        <v>81</v>
      </c>
      <c r="E481" t="s">
        <v>452</v>
      </c>
      <c r="F481" t="s">
        <v>453</v>
      </c>
      <c r="G481" s="4">
        <v>84145120</v>
      </c>
      <c r="H481" s="4">
        <v>2</v>
      </c>
      <c r="I481" s="4">
        <v>1906.7</v>
      </c>
      <c r="J481" s="4">
        <f t="shared" si="28"/>
        <v>3813.4</v>
      </c>
      <c r="K481">
        <f t="shared" si="29"/>
        <v>343.20600000000002</v>
      </c>
      <c r="L481">
        <f t="shared" si="30"/>
        <v>343.20600000000002</v>
      </c>
      <c r="M481">
        <f t="shared" si="31"/>
        <v>4499.8</v>
      </c>
    </row>
    <row r="482" spans="1:13" x14ac:dyDescent="0.25">
      <c r="A482" s="4">
        <v>841</v>
      </c>
      <c r="B482" s="3">
        <v>45903</v>
      </c>
      <c r="C482" t="s">
        <v>106</v>
      </c>
      <c r="D482" t="s">
        <v>107</v>
      </c>
      <c r="E482" t="s">
        <v>452</v>
      </c>
      <c r="F482" t="s">
        <v>453</v>
      </c>
      <c r="G482" s="4">
        <v>84145120</v>
      </c>
      <c r="H482" s="4">
        <v>1</v>
      </c>
      <c r="I482" s="4">
        <v>2610.16</v>
      </c>
      <c r="J482" s="4">
        <f t="shared" si="28"/>
        <v>2610.16</v>
      </c>
      <c r="K482">
        <f t="shared" si="29"/>
        <v>234.91439999999997</v>
      </c>
      <c r="L482">
        <f t="shared" si="30"/>
        <v>234.91439999999997</v>
      </c>
      <c r="M482">
        <f t="shared" si="31"/>
        <v>3080</v>
      </c>
    </row>
    <row r="483" spans="1:13" x14ac:dyDescent="0.25">
      <c r="A483" s="4">
        <v>841</v>
      </c>
      <c r="B483" s="3">
        <v>45903</v>
      </c>
      <c r="C483" t="s">
        <v>106</v>
      </c>
      <c r="D483" t="s">
        <v>90</v>
      </c>
      <c r="E483" t="s">
        <v>452</v>
      </c>
      <c r="F483" t="s">
        <v>453</v>
      </c>
      <c r="G483" s="4">
        <v>84145120</v>
      </c>
      <c r="H483" s="4">
        <v>1</v>
      </c>
      <c r="I483" s="4">
        <v>1906.7</v>
      </c>
      <c r="J483" s="4">
        <f t="shared" si="28"/>
        <v>1906.7</v>
      </c>
      <c r="K483">
        <f t="shared" si="29"/>
        <v>171.60300000000001</v>
      </c>
      <c r="L483">
        <f t="shared" si="30"/>
        <v>171.60300000000001</v>
      </c>
      <c r="M483">
        <f t="shared" si="31"/>
        <v>2249.9</v>
      </c>
    </row>
    <row r="484" spans="1:13" x14ac:dyDescent="0.25">
      <c r="A484" s="4">
        <v>840</v>
      </c>
      <c r="B484" s="3">
        <v>45902</v>
      </c>
      <c r="C484" t="s">
        <v>105</v>
      </c>
      <c r="D484" t="s">
        <v>81</v>
      </c>
      <c r="E484" t="s">
        <v>452</v>
      </c>
      <c r="F484" t="s">
        <v>453</v>
      </c>
      <c r="G484" s="4">
        <v>84145120</v>
      </c>
      <c r="H484">
        <v>1</v>
      </c>
      <c r="I484">
        <v>1906.7</v>
      </c>
      <c r="J484" s="4">
        <f t="shared" si="28"/>
        <v>1906.7</v>
      </c>
      <c r="K484">
        <f t="shared" si="29"/>
        <v>171.60300000000001</v>
      </c>
      <c r="L484">
        <f t="shared" si="30"/>
        <v>171.60300000000001</v>
      </c>
      <c r="M484">
        <f t="shared" si="31"/>
        <v>2249.9</v>
      </c>
    </row>
    <row r="485" spans="1:13" x14ac:dyDescent="0.25">
      <c r="A485" s="4">
        <v>843</v>
      </c>
      <c r="B485" s="3">
        <v>45824</v>
      </c>
      <c r="C485" t="s">
        <v>108</v>
      </c>
      <c r="D485" t="s">
        <v>81</v>
      </c>
      <c r="E485" t="s">
        <v>452</v>
      </c>
      <c r="F485" t="s">
        <v>453</v>
      </c>
      <c r="G485" s="4">
        <v>84145120</v>
      </c>
      <c r="H485">
        <v>1</v>
      </c>
      <c r="I485">
        <v>1906.7</v>
      </c>
      <c r="J485" s="4">
        <f t="shared" si="28"/>
        <v>1906.7</v>
      </c>
      <c r="K485">
        <f t="shared" si="29"/>
        <v>171.60300000000001</v>
      </c>
      <c r="L485">
        <f t="shared" si="30"/>
        <v>171.60300000000001</v>
      </c>
      <c r="M485">
        <f t="shared" si="31"/>
        <v>2249.9</v>
      </c>
    </row>
    <row r="486" spans="1:13" x14ac:dyDescent="0.25">
      <c r="A486" s="4">
        <v>843</v>
      </c>
      <c r="B486" s="3">
        <v>45824</v>
      </c>
      <c r="C486" t="s">
        <v>108</v>
      </c>
      <c r="D486" t="s">
        <v>33</v>
      </c>
      <c r="E486" t="s">
        <v>452</v>
      </c>
      <c r="F486" t="s">
        <v>453</v>
      </c>
      <c r="G486" s="4">
        <v>84145120</v>
      </c>
      <c r="H486">
        <v>1</v>
      </c>
      <c r="I486">
        <v>1906.77</v>
      </c>
      <c r="J486" s="4">
        <f t="shared" si="28"/>
        <v>1906.77</v>
      </c>
      <c r="K486">
        <f t="shared" si="29"/>
        <v>171.60929999999999</v>
      </c>
      <c r="L486">
        <f t="shared" si="30"/>
        <v>171.60929999999999</v>
      </c>
      <c r="M486">
        <f t="shared" si="31"/>
        <v>2250</v>
      </c>
    </row>
    <row r="487" spans="1:13" x14ac:dyDescent="0.25">
      <c r="A487" s="4">
        <v>850</v>
      </c>
      <c r="B487" s="3">
        <v>45822</v>
      </c>
      <c r="C487" t="s">
        <v>113</v>
      </c>
      <c r="D487" t="s">
        <v>33</v>
      </c>
      <c r="E487" t="s">
        <v>452</v>
      </c>
      <c r="F487" t="s">
        <v>453</v>
      </c>
      <c r="G487" s="4">
        <v>84145120</v>
      </c>
      <c r="H487" s="4">
        <v>3</v>
      </c>
      <c r="I487" s="4">
        <v>1906.77</v>
      </c>
      <c r="J487" s="4">
        <f t="shared" si="28"/>
        <v>5720.3099999999995</v>
      </c>
      <c r="K487">
        <f t="shared" si="29"/>
        <v>514.82789999999989</v>
      </c>
      <c r="L487">
        <f t="shared" si="30"/>
        <v>514.82789999999989</v>
      </c>
      <c r="M487">
        <f t="shared" si="31"/>
        <v>6750</v>
      </c>
    </row>
    <row r="488" spans="1:13" x14ac:dyDescent="0.25">
      <c r="A488" s="4">
        <v>807</v>
      </c>
      <c r="B488" s="3">
        <v>45798</v>
      </c>
      <c r="C488" t="s">
        <v>97</v>
      </c>
      <c r="D488" t="s">
        <v>81</v>
      </c>
      <c r="E488" t="s">
        <v>452</v>
      </c>
      <c r="F488" t="s">
        <v>453</v>
      </c>
      <c r="G488" s="4">
        <v>84145120</v>
      </c>
      <c r="H488" s="4">
        <v>1</v>
      </c>
      <c r="I488" s="4">
        <v>1906.77</v>
      </c>
      <c r="J488" s="4">
        <f t="shared" si="28"/>
        <v>1906.77</v>
      </c>
      <c r="K488">
        <f t="shared" si="29"/>
        <v>171.60929999999999</v>
      </c>
      <c r="L488">
        <f t="shared" si="30"/>
        <v>171.60929999999999</v>
      </c>
      <c r="M488">
        <f t="shared" si="31"/>
        <v>2250</v>
      </c>
    </row>
    <row r="489" spans="1:13" x14ac:dyDescent="0.25">
      <c r="A489" s="4">
        <v>807</v>
      </c>
      <c r="B489" s="3">
        <v>45798</v>
      </c>
      <c r="C489" t="s">
        <v>97</v>
      </c>
      <c r="D489" t="s">
        <v>33</v>
      </c>
      <c r="E489" t="s">
        <v>452</v>
      </c>
      <c r="F489" t="s">
        <v>453</v>
      </c>
      <c r="G489" s="4">
        <v>84145120</v>
      </c>
      <c r="H489" s="4">
        <v>2</v>
      </c>
      <c r="I489" s="4">
        <v>1906.77</v>
      </c>
      <c r="J489" s="4">
        <f t="shared" si="28"/>
        <v>3813.54</v>
      </c>
      <c r="K489">
        <f t="shared" si="29"/>
        <v>343.21859999999998</v>
      </c>
      <c r="L489">
        <f t="shared" si="30"/>
        <v>343.21859999999998</v>
      </c>
      <c r="M489">
        <f t="shared" si="31"/>
        <v>4500</v>
      </c>
    </row>
    <row r="490" spans="1:13" x14ac:dyDescent="0.25">
      <c r="A490" s="4">
        <v>807</v>
      </c>
      <c r="B490" s="3">
        <v>45798</v>
      </c>
      <c r="C490" t="s">
        <v>97</v>
      </c>
      <c r="D490" t="s">
        <v>90</v>
      </c>
      <c r="E490" t="s">
        <v>452</v>
      </c>
      <c r="F490" t="s">
        <v>453</v>
      </c>
      <c r="G490" s="4">
        <v>84145120</v>
      </c>
      <c r="H490" s="4">
        <v>1</v>
      </c>
      <c r="I490" s="4">
        <v>1906.77</v>
      </c>
      <c r="J490" s="4">
        <f t="shared" si="28"/>
        <v>1906.77</v>
      </c>
      <c r="K490">
        <f t="shared" si="29"/>
        <v>171.60929999999999</v>
      </c>
      <c r="L490">
        <f t="shared" si="30"/>
        <v>171.60929999999999</v>
      </c>
      <c r="M490">
        <f t="shared" si="31"/>
        <v>2250</v>
      </c>
    </row>
    <row r="491" spans="1:13" x14ac:dyDescent="0.25">
      <c r="A491" s="4">
        <v>807</v>
      </c>
      <c r="B491" s="3">
        <v>45798</v>
      </c>
      <c r="C491" t="s">
        <v>97</v>
      </c>
      <c r="D491" t="s">
        <v>98</v>
      </c>
      <c r="E491" t="s">
        <v>452</v>
      </c>
      <c r="F491" t="s">
        <v>453</v>
      </c>
      <c r="G491" s="4">
        <v>84145120</v>
      </c>
      <c r="H491" s="4">
        <v>2</v>
      </c>
      <c r="I491" s="4">
        <v>1906.77</v>
      </c>
      <c r="J491" s="4">
        <f t="shared" si="28"/>
        <v>3813.54</v>
      </c>
      <c r="K491">
        <f t="shared" si="29"/>
        <v>343.21859999999998</v>
      </c>
      <c r="L491">
        <f t="shared" si="30"/>
        <v>343.21859999999998</v>
      </c>
      <c r="M491">
        <f t="shared" si="31"/>
        <v>4500</v>
      </c>
    </row>
    <row r="492" spans="1:13" x14ac:dyDescent="0.25">
      <c r="A492" s="4">
        <v>807</v>
      </c>
      <c r="B492" s="3">
        <v>45798</v>
      </c>
      <c r="C492" t="s">
        <v>97</v>
      </c>
      <c r="D492" t="s">
        <v>95</v>
      </c>
      <c r="E492" t="s">
        <v>452</v>
      </c>
      <c r="F492" t="s">
        <v>453</v>
      </c>
      <c r="G492" s="4">
        <v>84145120</v>
      </c>
      <c r="H492" s="4">
        <v>2</v>
      </c>
      <c r="I492" s="4">
        <v>2741.52</v>
      </c>
      <c r="J492" s="4">
        <f t="shared" si="28"/>
        <v>5483.04</v>
      </c>
      <c r="K492">
        <f t="shared" si="29"/>
        <v>493.47359999999998</v>
      </c>
      <c r="L492">
        <f t="shared" si="30"/>
        <v>493.47359999999998</v>
      </c>
      <c r="M492">
        <f t="shared" si="31"/>
        <v>6470</v>
      </c>
    </row>
    <row r="493" spans="1:13" x14ac:dyDescent="0.25">
      <c r="A493" s="4">
        <v>807</v>
      </c>
      <c r="B493" s="3">
        <v>45798</v>
      </c>
      <c r="C493" t="s">
        <v>97</v>
      </c>
      <c r="D493" t="s">
        <v>91</v>
      </c>
      <c r="E493" t="s">
        <v>452</v>
      </c>
      <c r="F493" t="s">
        <v>453</v>
      </c>
      <c r="G493" s="4">
        <v>84145120</v>
      </c>
      <c r="H493" s="4">
        <v>1</v>
      </c>
      <c r="I493" s="4">
        <v>2741.52</v>
      </c>
      <c r="J493" s="4">
        <f t="shared" si="28"/>
        <v>2741.52</v>
      </c>
      <c r="K493">
        <f t="shared" si="29"/>
        <v>246.73679999999999</v>
      </c>
      <c r="L493">
        <f t="shared" si="30"/>
        <v>246.73679999999999</v>
      </c>
      <c r="M493">
        <f t="shared" si="31"/>
        <v>3235</v>
      </c>
    </row>
    <row r="494" spans="1:13" x14ac:dyDescent="0.25">
      <c r="A494" s="4">
        <v>807</v>
      </c>
      <c r="B494" s="3">
        <v>45798</v>
      </c>
      <c r="C494" t="s">
        <v>97</v>
      </c>
      <c r="D494" t="s">
        <v>99</v>
      </c>
      <c r="E494" t="s">
        <v>452</v>
      </c>
      <c r="F494" t="s">
        <v>453</v>
      </c>
      <c r="G494" s="4">
        <v>84145120</v>
      </c>
      <c r="H494" s="4">
        <v>1</v>
      </c>
      <c r="I494" s="4">
        <v>2741.52</v>
      </c>
      <c r="J494" s="4">
        <f t="shared" si="28"/>
        <v>2741.52</v>
      </c>
      <c r="K494">
        <f t="shared" si="29"/>
        <v>246.73679999999999</v>
      </c>
      <c r="L494">
        <f t="shared" si="30"/>
        <v>246.73679999999999</v>
      </c>
      <c r="M494">
        <f t="shared" si="31"/>
        <v>3235</v>
      </c>
    </row>
    <row r="495" spans="1:13" x14ac:dyDescent="0.25">
      <c r="A495" s="4">
        <v>806</v>
      </c>
      <c r="B495" s="3">
        <v>45797</v>
      </c>
      <c r="C495" t="s">
        <v>93</v>
      </c>
      <c r="D495" t="s">
        <v>33</v>
      </c>
      <c r="E495" t="s">
        <v>452</v>
      </c>
      <c r="F495" t="s">
        <v>453</v>
      </c>
      <c r="G495" s="4">
        <v>84145120</v>
      </c>
      <c r="H495">
        <v>9</v>
      </c>
      <c r="I495">
        <v>1906.77</v>
      </c>
      <c r="J495" s="4">
        <f t="shared" si="28"/>
        <v>17160.93</v>
      </c>
      <c r="K495">
        <f t="shared" si="29"/>
        <v>1544.4837</v>
      </c>
      <c r="L495">
        <f t="shared" si="30"/>
        <v>1544.4837</v>
      </c>
      <c r="M495">
        <f t="shared" si="31"/>
        <v>20249.900000000001</v>
      </c>
    </row>
    <row r="496" spans="1:13" x14ac:dyDescent="0.25">
      <c r="A496" s="4">
        <v>805</v>
      </c>
      <c r="B496" s="3">
        <v>45793</v>
      </c>
      <c r="C496" t="s">
        <v>93</v>
      </c>
      <c r="D496" t="s">
        <v>94</v>
      </c>
      <c r="E496" t="s">
        <v>452</v>
      </c>
      <c r="F496" t="s">
        <v>453</v>
      </c>
      <c r="G496" s="4">
        <v>84145120</v>
      </c>
      <c r="H496" s="4">
        <v>1</v>
      </c>
      <c r="I496" s="4">
        <v>2983.05</v>
      </c>
      <c r="J496" s="4">
        <f t="shared" si="28"/>
        <v>2983.05</v>
      </c>
      <c r="K496">
        <f t="shared" si="29"/>
        <v>268.47450000000003</v>
      </c>
      <c r="L496">
        <f t="shared" si="30"/>
        <v>268.47450000000003</v>
      </c>
      <c r="M496">
        <f t="shared" si="31"/>
        <v>3520</v>
      </c>
    </row>
    <row r="497" spans="1:13" x14ac:dyDescent="0.25">
      <c r="A497" s="4">
        <v>805</v>
      </c>
      <c r="B497" s="3">
        <v>45793</v>
      </c>
      <c r="C497" t="s">
        <v>93</v>
      </c>
      <c r="D497" t="s">
        <v>95</v>
      </c>
      <c r="E497" t="s">
        <v>452</v>
      </c>
      <c r="F497" t="s">
        <v>453</v>
      </c>
      <c r="G497" s="4">
        <v>84145120</v>
      </c>
      <c r="H497" s="4">
        <v>2</v>
      </c>
      <c r="I497" s="4">
        <v>2741.53</v>
      </c>
      <c r="J497" s="4">
        <f t="shared" si="28"/>
        <v>5483.06</v>
      </c>
      <c r="K497">
        <f t="shared" si="29"/>
        <v>493.47540000000004</v>
      </c>
      <c r="L497">
        <f t="shared" si="30"/>
        <v>493.47540000000004</v>
      </c>
      <c r="M497">
        <f t="shared" si="31"/>
        <v>6470</v>
      </c>
    </row>
    <row r="498" spans="1:13" x14ac:dyDescent="0.25">
      <c r="A498" s="4">
        <v>805</v>
      </c>
      <c r="B498" s="3">
        <v>45793</v>
      </c>
      <c r="C498" t="s">
        <v>93</v>
      </c>
      <c r="D498" t="s">
        <v>91</v>
      </c>
      <c r="E498" t="s">
        <v>452</v>
      </c>
      <c r="F498" t="s">
        <v>453</v>
      </c>
      <c r="G498" s="4">
        <v>84145120</v>
      </c>
      <c r="H498" s="4">
        <v>2</v>
      </c>
      <c r="I498" s="4">
        <v>2741.53</v>
      </c>
      <c r="J498" s="4">
        <f t="shared" si="28"/>
        <v>5483.06</v>
      </c>
      <c r="K498">
        <f t="shared" si="29"/>
        <v>493.47540000000004</v>
      </c>
      <c r="L498">
        <f t="shared" si="30"/>
        <v>493.47540000000004</v>
      </c>
      <c r="M498">
        <f t="shared" si="31"/>
        <v>6470</v>
      </c>
    </row>
    <row r="499" spans="1:13" x14ac:dyDescent="0.25">
      <c r="A499" s="4">
        <v>805</v>
      </c>
      <c r="B499" s="3">
        <v>45793</v>
      </c>
      <c r="C499" t="s">
        <v>93</v>
      </c>
      <c r="D499" t="s">
        <v>92</v>
      </c>
      <c r="E499" t="s">
        <v>452</v>
      </c>
      <c r="F499" t="s">
        <v>453</v>
      </c>
      <c r="G499" s="4">
        <v>84145120</v>
      </c>
      <c r="H499" s="4">
        <v>1</v>
      </c>
      <c r="I499" s="4">
        <v>2741.53</v>
      </c>
      <c r="J499" s="4">
        <f t="shared" si="28"/>
        <v>2741.53</v>
      </c>
      <c r="K499">
        <f t="shared" si="29"/>
        <v>246.73770000000002</v>
      </c>
      <c r="L499">
        <f t="shared" si="30"/>
        <v>246.73770000000002</v>
      </c>
      <c r="M499">
        <f t="shared" si="31"/>
        <v>3235</v>
      </c>
    </row>
    <row r="500" spans="1:13" x14ac:dyDescent="0.25">
      <c r="A500" s="4">
        <v>805</v>
      </c>
      <c r="B500" s="3">
        <v>45793</v>
      </c>
      <c r="C500" t="s">
        <v>93</v>
      </c>
      <c r="D500" t="s">
        <v>33</v>
      </c>
      <c r="E500" t="s">
        <v>452</v>
      </c>
      <c r="F500" t="s">
        <v>453</v>
      </c>
      <c r="G500" s="4">
        <v>84145120</v>
      </c>
      <c r="H500" s="4">
        <v>2</v>
      </c>
      <c r="I500" s="4">
        <v>1906.77</v>
      </c>
      <c r="J500" s="4">
        <f t="shared" si="28"/>
        <v>3813.54</v>
      </c>
      <c r="K500">
        <f t="shared" si="29"/>
        <v>343.21859999999998</v>
      </c>
      <c r="L500">
        <f t="shared" si="30"/>
        <v>343.21859999999998</v>
      </c>
      <c r="M500">
        <f t="shared" si="31"/>
        <v>4500</v>
      </c>
    </row>
    <row r="501" spans="1:13" x14ac:dyDescent="0.25">
      <c r="A501" s="4">
        <v>805</v>
      </c>
      <c r="B501" s="3">
        <v>45793</v>
      </c>
      <c r="C501" t="s">
        <v>93</v>
      </c>
      <c r="D501" t="s">
        <v>96</v>
      </c>
      <c r="E501" t="s">
        <v>452</v>
      </c>
      <c r="F501" t="s">
        <v>453</v>
      </c>
      <c r="G501" s="4">
        <v>84145120</v>
      </c>
      <c r="H501" s="4">
        <v>1</v>
      </c>
      <c r="I501" s="4">
        <v>1906.78</v>
      </c>
      <c r="J501" s="4">
        <f t="shared" si="28"/>
        <v>1906.78</v>
      </c>
      <c r="K501">
        <f t="shared" si="29"/>
        <v>171.61019999999999</v>
      </c>
      <c r="L501">
        <f t="shared" si="30"/>
        <v>171.61019999999999</v>
      </c>
      <c r="M501">
        <f t="shared" si="31"/>
        <v>2250</v>
      </c>
    </row>
    <row r="502" spans="1:13" x14ac:dyDescent="0.25">
      <c r="A502" s="4">
        <v>839</v>
      </c>
      <c r="B502" s="3">
        <v>45791</v>
      </c>
      <c r="C502" t="s">
        <v>103</v>
      </c>
      <c r="D502" t="s">
        <v>40</v>
      </c>
      <c r="E502" t="s">
        <v>452</v>
      </c>
      <c r="F502" t="s">
        <v>453</v>
      </c>
      <c r="G502" s="4">
        <v>84145120</v>
      </c>
      <c r="H502">
        <v>2</v>
      </c>
      <c r="I502">
        <v>1144.06</v>
      </c>
      <c r="J502" s="4">
        <f t="shared" si="28"/>
        <v>2288.12</v>
      </c>
      <c r="K502">
        <f t="shared" si="29"/>
        <v>205.93079999999998</v>
      </c>
      <c r="L502">
        <f t="shared" si="30"/>
        <v>205.93079999999998</v>
      </c>
      <c r="M502">
        <f t="shared" si="31"/>
        <v>2700</v>
      </c>
    </row>
    <row r="503" spans="1:13" x14ac:dyDescent="0.25">
      <c r="A503" s="4">
        <v>839</v>
      </c>
      <c r="B503" s="3">
        <v>45791</v>
      </c>
      <c r="C503" t="s">
        <v>103</v>
      </c>
      <c r="D503" t="s">
        <v>104</v>
      </c>
      <c r="E503" t="s">
        <v>452</v>
      </c>
      <c r="F503" t="s">
        <v>453</v>
      </c>
      <c r="G503" s="4">
        <v>84145120</v>
      </c>
      <c r="H503">
        <v>1</v>
      </c>
      <c r="I503">
        <v>1144.06</v>
      </c>
      <c r="J503" s="4">
        <f t="shared" si="28"/>
        <v>1144.06</v>
      </c>
      <c r="K503">
        <f t="shared" si="29"/>
        <v>102.96539999999999</v>
      </c>
      <c r="L503">
        <f t="shared" si="30"/>
        <v>102.96539999999999</v>
      </c>
      <c r="M503">
        <f t="shared" si="31"/>
        <v>1350</v>
      </c>
    </row>
    <row r="504" spans="1:13" x14ac:dyDescent="0.25">
      <c r="A504" s="4">
        <v>839</v>
      </c>
      <c r="B504" s="3">
        <v>45791</v>
      </c>
      <c r="C504" t="s">
        <v>103</v>
      </c>
      <c r="D504" t="s">
        <v>50</v>
      </c>
      <c r="E504" t="s">
        <v>452</v>
      </c>
      <c r="F504" t="s">
        <v>453</v>
      </c>
      <c r="G504" s="4">
        <v>84145120</v>
      </c>
      <c r="H504">
        <v>1</v>
      </c>
      <c r="I504">
        <v>1144.06</v>
      </c>
      <c r="J504" s="4">
        <f t="shared" si="28"/>
        <v>1144.06</v>
      </c>
      <c r="K504">
        <f t="shared" si="29"/>
        <v>102.96539999999999</v>
      </c>
      <c r="L504">
        <f t="shared" si="30"/>
        <v>102.96539999999999</v>
      </c>
      <c r="M504">
        <f t="shared" si="31"/>
        <v>1350</v>
      </c>
    </row>
    <row r="505" spans="1:13" x14ac:dyDescent="0.25">
      <c r="A505" s="4">
        <v>839</v>
      </c>
      <c r="B505" s="3">
        <v>45791</v>
      </c>
      <c r="C505" t="s">
        <v>103</v>
      </c>
      <c r="D505" t="s">
        <v>81</v>
      </c>
      <c r="E505" t="s">
        <v>452</v>
      </c>
      <c r="F505" t="s">
        <v>453</v>
      </c>
      <c r="G505" s="4">
        <v>84145120</v>
      </c>
      <c r="H505">
        <v>1</v>
      </c>
      <c r="I505">
        <v>1906.7</v>
      </c>
      <c r="J505" s="4">
        <f t="shared" si="28"/>
        <v>1906.7</v>
      </c>
      <c r="K505">
        <f t="shared" si="29"/>
        <v>171.60300000000001</v>
      </c>
      <c r="L505">
        <f t="shared" si="30"/>
        <v>171.60300000000001</v>
      </c>
      <c r="M505">
        <f t="shared" si="31"/>
        <v>2249.9</v>
      </c>
    </row>
    <row r="506" spans="1:13" x14ac:dyDescent="0.25">
      <c r="A506" s="4">
        <v>804</v>
      </c>
      <c r="B506" s="3">
        <v>45787</v>
      </c>
      <c r="C506" t="s">
        <v>88</v>
      </c>
      <c r="D506" t="s">
        <v>89</v>
      </c>
      <c r="E506" t="s">
        <v>452</v>
      </c>
      <c r="F506" t="s">
        <v>453</v>
      </c>
      <c r="G506" s="4">
        <v>84145120</v>
      </c>
      <c r="H506" s="4">
        <v>1</v>
      </c>
      <c r="I506" s="4">
        <v>1906.7</v>
      </c>
      <c r="J506" s="4">
        <f t="shared" si="28"/>
        <v>1906.7</v>
      </c>
      <c r="K506">
        <f t="shared" si="29"/>
        <v>171.60300000000001</v>
      </c>
      <c r="L506">
        <f t="shared" si="30"/>
        <v>171.60300000000001</v>
      </c>
      <c r="M506">
        <f t="shared" si="31"/>
        <v>2249.9</v>
      </c>
    </row>
    <row r="507" spans="1:13" x14ac:dyDescent="0.25">
      <c r="A507" s="4">
        <v>804</v>
      </c>
      <c r="B507" s="3">
        <v>45787</v>
      </c>
      <c r="C507" t="s">
        <v>88</v>
      </c>
      <c r="D507" t="s">
        <v>90</v>
      </c>
      <c r="E507" t="s">
        <v>452</v>
      </c>
      <c r="F507" t="s">
        <v>453</v>
      </c>
      <c r="G507" s="4">
        <v>84145120</v>
      </c>
      <c r="H507" s="4">
        <v>1</v>
      </c>
      <c r="I507" s="4">
        <v>1906.7</v>
      </c>
      <c r="J507" s="4">
        <f t="shared" si="28"/>
        <v>1906.7</v>
      </c>
      <c r="K507">
        <f t="shared" si="29"/>
        <v>171.60300000000001</v>
      </c>
      <c r="L507">
        <f t="shared" si="30"/>
        <v>171.60300000000001</v>
      </c>
      <c r="M507">
        <f t="shared" si="31"/>
        <v>2249.9</v>
      </c>
    </row>
    <row r="508" spans="1:13" x14ac:dyDescent="0.25">
      <c r="A508" s="4">
        <v>804</v>
      </c>
      <c r="B508" s="3">
        <v>45787</v>
      </c>
      <c r="C508" t="s">
        <v>88</v>
      </c>
      <c r="D508" t="s">
        <v>33</v>
      </c>
      <c r="E508" t="s">
        <v>452</v>
      </c>
      <c r="F508" t="s">
        <v>453</v>
      </c>
      <c r="G508" s="4">
        <v>84145120</v>
      </c>
      <c r="H508" s="4">
        <v>1</v>
      </c>
      <c r="I508" s="4">
        <v>1906.77</v>
      </c>
      <c r="J508" s="4">
        <f t="shared" si="28"/>
        <v>1906.77</v>
      </c>
      <c r="K508">
        <f t="shared" si="29"/>
        <v>171.60929999999999</v>
      </c>
      <c r="L508">
        <f t="shared" si="30"/>
        <v>171.60929999999999</v>
      </c>
      <c r="M508">
        <f t="shared" si="31"/>
        <v>2250</v>
      </c>
    </row>
    <row r="509" spans="1:13" x14ac:dyDescent="0.25">
      <c r="A509" s="4">
        <v>804</v>
      </c>
      <c r="B509" s="3">
        <v>45787</v>
      </c>
      <c r="C509" t="s">
        <v>88</v>
      </c>
      <c r="D509" t="s">
        <v>81</v>
      </c>
      <c r="E509" t="s">
        <v>452</v>
      </c>
      <c r="F509" t="s">
        <v>453</v>
      </c>
      <c r="G509" s="4">
        <v>84145120</v>
      </c>
      <c r="H509" s="4">
        <v>1</v>
      </c>
      <c r="I509" s="4">
        <v>1906.7</v>
      </c>
      <c r="J509" s="4">
        <f t="shared" si="28"/>
        <v>1906.7</v>
      </c>
      <c r="K509">
        <f t="shared" si="29"/>
        <v>171.60300000000001</v>
      </c>
      <c r="L509">
        <f t="shared" si="30"/>
        <v>171.60300000000001</v>
      </c>
      <c r="M509">
        <f t="shared" si="31"/>
        <v>2249.9</v>
      </c>
    </row>
    <row r="510" spans="1:13" x14ac:dyDescent="0.25">
      <c r="A510" s="4">
        <v>804</v>
      </c>
      <c r="B510" s="3">
        <v>45787</v>
      </c>
      <c r="C510" t="s">
        <v>88</v>
      </c>
      <c r="D510" t="s">
        <v>91</v>
      </c>
      <c r="E510" t="s">
        <v>452</v>
      </c>
      <c r="F510" t="s">
        <v>453</v>
      </c>
      <c r="G510" s="4">
        <v>84145120</v>
      </c>
      <c r="H510" s="4">
        <v>1</v>
      </c>
      <c r="I510" s="4">
        <v>2741.53</v>
      </c>
      <c r="J510" s="4">
        <f t="shared" si="28"/>
        <v>2741.53</v>
      </c>
      <c r="K510">
        <f t="shared" si="29"/>
        <v>246.73770000000002</v>
      </c>
      <c r="L510">
        <f t="shared" si="30"/>
        <v>246.73770000000002</v>
      </c>
      <c r="M510">
        <f t="shared" si="31"/>
        <v>3235</v>
      </c>
    </row>
    <row r="511" spans="1:13" x14ac:dyDescent="0.25">
      <c r="A511" s="4">
        <v>804</v>
      </c>
      <c r="B511" s="3">
        <v>45787</v>
      </c>
      <c r="C511" t="s">
        <v>88</v>
      </c>
      <c r="D511" t="s">
        <v>92</v>
      </c>
      <c r="E511" t="s">
        <v>452</v>
      </c>
      <c r="F511" t="s">
        <v>453</v>
      </c>
      <c r="G511" s="4">
        <v>84145120</v>
      </c>
      <c r="H511" s="4">
        <v>1</v>
      </c>
      <c r="I511" s="4">
        <v>2741.53</v>
      </c>
      <c r="J511" s="4">
        <f t="shared" si="28"/>
        <v>2741.53</v>
      </c>
      <c r="K511">
        <f t="shared" si="29"/>
        <v>246.73770000000002</v>
      </c>
      <c r="L511">
        <f t="shared" si="30"/>
        <v>246.73770000000002</v>
      </c>
      <c r="M511">
        <f t="shared" si="31"/>
        <v>3235</v>
      </c>
    </row>
    <row r="512" spans="1:13" x14ac:dyDescent="0.25">
      <c r="A512" s="4">
        <v>801</v>
      </c>
      <c r="B512" s="3">
        <v>45750</v>
      </c>
      <c r="C512" t="s">
        <v>86</v>
      </c>
      <c r="D512" t="s">
        <v>33</v>
      </c>
      <c r="E512" t="s">
        <v>452</v>
      </c>
      <c r="F512" t="s">
        <v>453</v>
      </c>
      <c r="G512" s="4">
        <v>84145120</v>
      </c>
      <c r="H512" s="4">
        <v>2</v>
      </c>
      <c r="I512" s="4">
        <v>1906.77</v>
      </c>
      <c r="J512" s="4">
        <f t="shared" si="28"/>
        <v>3813.54</v>
      </c>
      <c r="K512">
        <f t="shared" si="29"/>
        <v>343.21859999999998</v>
      </c>
      <c r="L512">
        <f t="shared" si="30"/>
        <v>343.21859999999998</v>
      </c>
      <c r="M512">
        <f t="shared" si="31"/>
        <v>4500</v>
      </c>
    </row>
    <row r="513" spans="1:13" x14ac:dyDescent="0.25">
      <c r="A513" s="4">
        <v>801</v>
      </c>
      <c r="B513" s="3">
        <v>45750</v>
      </c>
      <c r="C513" t="s">
        <v>86</v>
      </c>
      <c r="D513" t="s">
        <v>87</v>
      </c>
      <c r="E513" t="s">
        <v>452</v>
      </c>
      <c r="F513" t="s">
        <v>453</v>
      </c>
      <c r="G513" s="4">
        <v>84145120</v>
      </c>
      <c r="H513" s="4">
        <v>1</v>
      </c>
      <c r="I513" s="4">
        <v>1906.77</v>
      </c>
      <c r="J513" s="4">
        <f t="shared" si="28"/>
        <v>1906.77</v>
      </c>
      <c r="K513">
        <f t="shared" si="29"/>
        <v>171.60929999999999</v>
      </c>
      <c r="L513">
        <f t="shared" si="30"/>
        <v>171.60929999999999</v>
      </c>
      <c r="M513">
        <f t="shared" si="31"/>
        <v>2250</v>
      </c>
    </row>
  </sheetData>
  <sortState xmlns:xlrd2="http://schemas.microsoft.com/office/spreadsheetml/2017/richdata2" ref="A2:M513">
    <sortCondition descending="1" ref="B1:B51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FY(2026-2027)</vt:lpstr>
      <vt:lpstr>FY(2025-2026)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2026-09-17T09:42:58Z</dcterms:modified>
</cp:coreProperties>
</file>